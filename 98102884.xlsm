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hareh\Desktop\طراحی\پروژه مبدل\98102884\"/>
    </mc:Choice>
  </mc:AlternateContent>
  <xr:revisionPtr revIDLastSave="0" documentId="13_ncr:1_{FD8EF8D9-366A-4E67-9AEF-A0C99180A8F0}" xr6:coauthVersionLast="47" xr6:coauthVersionMax="47" xr10:uidLastSave="{00000000-0000-0000-0000-000000000000}"/>
  <bookViews>
    <workbookView xWindow="-110" yWindow="-110" windowWidth="19420" windowHeight="10420" activeTab="2" xr2:uid="{5999607E-6AE8-452C-9746-150AC79E5DB0}"/>
  </bookViews>
  <sheets>
    <sheet name="Properties" sheetId="1" r:id="rId1"/>
    <sheet name="Kern Method" sheetId="2" r:id="rId2"/>
    <sheet name="Bell Method" sheetId="3" r:id="rId3"/>
    <sheet name="Mech Design" sheetId="9" r:id="rId4"/>
    <sheet name="weight" sheetId="7" r:id="rId5"/>
    <sheet name="cost" sheetId="8" r:id="rId6"/>
    <sheet name="Tema" sheetId="4" r:id="rId7"/>
  </sheets>
  <functionGroups builtInGroupCount="19"/>
  <externalReferences>
    <externalReference r:id="rId8"/>
    <externalReference r:id="rId9"/>
  </externalReferences>
  <definedNames>
    <definedName name="Dotl">[1]bell!$C$10</definedName>
    <definedName name="lbc">[1]bell!$C$9</definedName>
    <definedName name="nt">[1]Tube!$D$10</definedName>
    <definedName name="T_id">[1]Data!$X$4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2" i="3" l="1"/>
  <c r="H26" i="3"/>
  <c r="H13" i="3"/>
  <c r="J11" i="3"/>
  <c r="J7" i="3"/>
  <c r="H5" i="3"/>
  <c r="J3" i="3"/>
  <c r="J5" i="3" s="1"/>
  <c r="J2" i="3"/>
  <c r="H27" i="3" s="1"/>
  <c r="H2" i="3"/>
  <c r="H3" i="3" s="1"/>
  <c r="H4" i="3" l="1"/>
  <c r="H6" i="3"/>
  <c r="J8" i="3"/>
  <c r="J12" i="3"/>
  <c r="J4" i="3"/>
  <c r="J9" i="3"/>
  <c r="H8" i="3" s="1"/>
  <c r="J10" i="3"/>
  <c r="H21" i="8"/>
  <c r="H9" i="3" l="1"/>
  <c r="H15" i="3"/>
  <c r="H20" i="3" s="1"/>
  <c r="H22" i="3" s="1"/>
  <c r="D29" i="8"/>
  <c r="H15" i="8" s="1"/>
  <c r="E26" i="8"/>
  <c r="H19" i="8"/>
  <c r="H10" i="8"/>
  <c r="H5" i="8"/>
  <c r="H7" i="3" l="1"/>
  <c r="H32" i="3"/>
  <c r="D30" i="8"/>
  <c r="H3" i="8" s="1"/>
  <c r="H7" i="8" s="1"/>
  <c r="H8" i="8" s="1"/>
  <c r="H20" i="8"/>
  <c r="H12" i="8" l="1"/>
  <c r="H11" i="8"/>
  <c r="N11" i="3" l="1"/>
  <c r="H27" i="2"/>
  <c r="H26" i="2"/>
  <c r="H15" i="2"/>
  <c r="H20" i="2" s="1"/>
  <c r="H22" i="2" s="1"/>
  <c r="H13" i="2"/>
  <c r="J12" i="2"/>
  <c r="J11" i="2"/>
  <c r="J10" i="2"/>
  <c r="B8" i="7"/>
  <c r="C50" i="9"/>
  <c r="C49" i="9"/>
  <c r="N70" i="3"/>
  <c r="C26" i="9"/>
  <c r="B19" i="7" s="1"/>
  <c r="N12" i="9"/>
  <c r="C6" i="9"/>
  <c r="C38" i="9"/>
  <c r="C35" i="9"/>
  <c r="C29" i="9"/>
  <c r="C28" i="9"/>
  <c r="C27" i="9"/>
  <c r="C25" i="9"/>
  <c r="G20" i="9"/>
  <c r="C20" i="9"/>
  <c r="N17" i="9"/>
  <c r="K17" i="9"/>
  <c r="G16" i="9"/>
  <c r="N16" i="9"/>
  <c r="K16" i="9"/>
  <c r="C11" i="9"/>
  <c r="C46" i="9" s="1"/>
  <c r="C10" i="9"/>
  <c r="G6" i="9" s="1"/>
  <c r="E9" i="7" s="1"/>
  <c r="G9" i="9"/>
  <c r="C9" i="9"/>
  <c r="B9" i="9"/>
  <c r="G8" i="9"/>
  <c r="N5" i="9"/>
  <c r="K5" i="9"/>
  <c r="C5" i="9"/>
  <c r="N4" i="9"/>
  <c r="N3" i="9" s="1"/>
  <c r="N6" i="9" s="1"/>
  <c r="K4" i="9"/>
  <c r="C30" i="9" l="1"/>
  <c r="E5" i="7" s="1"/>
  <c r="H32" i="2"/>
  <c r="C40" i="9"/>
  <c r="B7" i="7" s="1"/>
  <c r="C7" i="7" s="1"/>
  <c r="C17" i="9"/>
  <c r="B5" i="7" s="1"/>
  <c r="C5" i="7" s="1"/>
  <c r="C8" i="7"/>
  <c r="N7" i="9"/>
  <c r="N8" i="9" s="1"/>
  <c r="C47" i="9"/>
  <c r="C22" i="9"/>
  <c r="C14" i="9"/>
  <c r="G17" i="9"/>
  <c r="N71" i="3"/>
  <c r="N9" i="9" l="1"/>
  <c r="N11" i="9"/>
  <c r="H2" i="2" l="1"/>
  <c r="E11" i="7"/>
  <c r="F11" i="7" s="1"/>
  <c r="H3" i="2" l="1"/>
  <c r="H4" i="2" s="1"/>
  <c r="K3" i="9" s="1"/>
  <c r="K6" i="9" s="1"/>
  <c r="K7" i="9" s="1"/>
  <c r="K8" i="9" s="1"/>
  <c r="N49" i="3"/>
  <c r="N48" i="3"/>
  <c r="N43" i="3"/>
  <c r="H9" i="2"/>
  <c r="J9" i="2"/>
  <c r="J7" i="2"/>
  <c r="H5" i="2"/>
  <c r="J3" i="2"/>
  <c r="J5" i="2" s="1"/>
  <c r="J2" i="2"/>
  <c r="N36" i="3"/>
  <c r="N18" i="3"/>
  <c r="N109" i="3"/>
  <c r="K11" i="9" l="1"/>
  <c r="K12" i="9" s="1"/>
  <c r="K9" i="9"/>
  <c r="H6" i="2"/>
  <c r="H8" i="2"/>
  <c r="J8" i="2"/>
  <c r="J4" i="2"/>
  <c r="G21" i="9" l="1"/>
  <c r="H7" i="2"/>
  <c r="N50" i="3"/>
  <c r="N47" i="3"/>
  <c r="N45" i="3"/>
  <c r="N51" i="3" s="1"/>
  <c r="N40" i="3"/>
  <c r="N23" i="3"/>
  <c r="N10" i="3"/>
  <c r="N9" i="3"/>
  <c r="N8" i="3"/>
  <c r="N94" i="3"/>
  <c r="N88" i="3"/>
  <c r="N77" i="3"/>
  <c r="N80" i="3"/>
  <c r="N81" i="3" s="1"/>
  <c r="N79" i="3"/>
  <c r="N75" i="3"/>
  <c r="N93" i="3"/>
  <c r="N12" i="3" l="1"/>
  <c r="N102" i="3" s="1"/>
  <c r="E8" i="7"/>
  <c r="E12" i="7"/>
  <c r="E14" i="7" s="1"/>
  <c r="F14" i="7" s="1"/>
  <c r="N115" i="3"/>
  <c r="N101" i="3"/>
  <c r="N100" i="3"/>
  <c r="N14" i="3" l="1"/>
  <c r="N16" i="3" s="1"/>
  <c r="N17" i="3" s="1"/>
  <c r="N19" i="3" s="1"/>
  <c r="F8" i="7"/>
  <c r="N15" i="9"/>
  <c r="N18" i="9" s="1"/>
  <c r="N19" i="9" s="1"/>
  <c r="N20" i="9" s="1"/>
  <c r="K15" i="9"/>
  <c r="K18" i="9" s="1"/>
  <c r="K19" i="9" s="1"/>
  <c r="K20" i="9" s="1"/>
  <c r="N103" i="3"/>
  <c r="N104" i="3" s="1"/>
  <c r="K26" i="4"/>
  <c r="F26" i="4"/>
  <c r="K25" i="4"/>
  <c r="F25" i="4"/>
  <c r="K22" i="4"/>
  <c r="K31" i="4"/>
  <c r="F31" i="4"/>
  <c r="K30" i="4"/>
  <c r="F30" i="4"/>
  <c r="B12" i="4"/>
  <c r="G10" i="4"/>
  <c r="N31" i="3" l="1"/>
  <c r="N60" i="3" s="1"/>
  <c r="N24" i="3"/>
  <c r="K21" i="9"/>
  <c r="K23" i="9"/>
  <c r="K24" i="9" s="1"/>
  <c r="N21" i="9"/>
  <c r="N23" i="9"/>
  <c r="N24" i="9" s="1"/>
  <c r="N105" i="3"/>
  <c r="N107" i="3" s="1"/>
  <c r="N106" i="3"/>
  <c r="N99" i="3"/>
  <c r="B6" i="7" l="1"/>
  <c r="C6" i="7" s="1"/>
  <c r="C9" i="7" s="1"/>
  <c r="N97" i="3"/>
  <c r="N98" i="3"/>
  <c r="N76" i="3" l="1"/>
  <c r="N78" i="3" s="1"/>
  <c r="N82" i="3" s="1"/>
  <c r="N120" i="3"/>
  <c r="N121" i="3" s="1"/>
  <c r="N83" i="3" l="1"/>
  <c r="N22" i="3" l="1"/>
  <c r="N38" i="3"/>
  <c r="N39" i="3" s="1"/>
  <c r="N33" i="3"/>
  <c r="N32" i="3"/>
  <c r="N108" i="3"/>
  <c r="N110" i="3" s="1"/>
  <c r="N111" i="3" s="1"/>
  <c r="N112" i="3" s="1"/>
  <c r="N113" i="3" s="1"/>
  <c r="N21" i="3"/>
  <c r="N25" i="3" s="1"/>
  <c r="N26" i="3" s="1"/>
  <c r="N53" i="3" s="1"/>
  <c r="N114" i="3" l="1"/>
  <c r="N123" i="3"/>
  <c r="N27" i="3"/>
  <c r="N41" i="3"/>
  <c r="N55" i="3" s="1"/>
  <c r="N42" i="3"/>
  <c r="N62" i="3"/>
  <c r="N35" i="3"/>
  <c r="N68" i="3" s="1"/>
  <c r="N37" i="3"/>
  <c r="N63" i="3"/>
  <c r="N44" i="3" l="1"/>
  <c r="N46" i="3" s="1"/>
  <c r="N116" i="3"/>
  <c r="N117" i="3" s="1"/>
  <c r="P114" i="3"/>
  <c r="P115" i="3" s="1"/>
  <c r="E6" i="7" s="1"/>
  <c r="E7" i="7" s="1"/>
  <c r="F7" i="7" s="1"/>
  <c r="F15" i="7" s="1"/>
  <c r="B17" i="7" s="1"/>
  <c r="N54" i="3"/>
  <c r="N28" i="3"/>
  <c r="N29" i="3" s="1"/>
  <c r="N30" i="3" s="1"/>
  <c r="N57" i="3"/>
  <c r="N72" i="3"/>
  <c r="N89" i="3"/>
  <c r="N64" i="3"/>
  <c r="N65" i="3" s="1"/>
  <c r="B18" i="7" l="1"/>
  <c r="K6" i="8" s="1"/>
  <c r="K7" i="8" s="1"/>
  <c r="B20" i="7"/>
  <c r="N52" i="3"/>
  <c r="N86" i="3"/>
  <c r="N118" i="3"/>
  <c r="N58" i="3"/>
  <c r="N56" i="3"/>
  <c r="N66" i="3"/>
  <c r="N67" i="3" s="1"/>
  <c r="N84" i="3"/>
  <c r="N73" i="3" l="1"/>
  <c r="N74" i="3" s="1"/>
  <c r="N87" i="3"/>
  <c r="N119" i="3"/>
  <c r="N125" i="3" s="1"/>
  <c r="N124" i="3"/>
  <c r="N85" i="3"/>
  <c r="N90" i="3"/>
  <c r="N92" i="3" l="1"/>
  <c r="N95" i="3" s="1"/>
  <c r="N9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Bahareh</author>
  </authors>
  <commentList>
    <comment ref="A1" authorId="0" shapeId="0" xr:uid="{E8A0D2B3-8D41-4F9F-82CA-8B4B57E9FB6B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from project file
</t>
        </r>
      </text>
    </comment>
    <comment ref="F1" authorId="0" shapeId="0" xr:uid="{08256CF6-45FF-4DAF-94AF-92E2460ADAAA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from project file</t>
        </r>
      </text>
    </comment>
    <comment ref="A11" authorId="0" shapeId="0" xr:uid="{98AABE44-8E18-4B9C-A49F-BF4C1F90AF8F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from project file
</t>
        </r>
      </text>
    </comment>
    <comment ref="F16" authorId="0" shapeId="0" xr:uid="{4EDB8299-508D-47EF-95F6-BFC4701E85FC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from project file</t>
        </r>
      </text>
    </comment>
    <comment ref="A20" authorId="0" shapeId="0" xr:uid="{A4109CDA-D66A-4EEC-936C-B1F2F9F4DD0F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from project file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Bahareh</author>
  </authors>
  <commentList>
    <comment ref="I1" authorId="0" shapeId="0" xr:uid="{4DC09E6F-0F6A-475D-83E2-211D552670F5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from the table of project file
</t>
        </r>
      </text>
    </comment>
    <comment ref="I6" authorId="0" shapeId="0" xr:uid="{29ACF5F9-195E-4620-AC77-204560989BCA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from Schlunder book, page 96, Fig 6</t>
        </r>
      </text>
    </comment>
    <comment ref="F10" authorId="0" shapeId="0" xr:uid="{0EAE8705-81A6-4A7F-AF71-C07145EE1263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booklet of Dr Farhadi, Fig 4-4a
</t>
        </r>
      </text>
    </comment>
    <comment ref="I13" authorId="0" shapeId="0" xr:uid="{23596320-F234-430E-912D-FD615C800670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from Schlunder book, page 96, Fig 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Bahareh</author>
  </authors>
  <commentList>
    <comment ref="I1" authorId="0" shapeId="0" xr:uid="{B2CB0A22-BE8E-40BF-8787-FA7D986B9CC4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from the table of project file
</t>
        </r>
      </text>
    </comment>
    <comment ref="I6" authorId="0" shapeId="0" xr:uid="{2E5CCAE2-691C-42A7-B36A-F59AC24541AB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from Schlunder book, page 96, Fig 6</t>
        </r>
      </text>
    </comment>
    <comment ref="F10" authorId="0" shapeId="0" xr:uid="{ED3D36B7-E998-42B5-8B40-BF245C568E5F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booklet of Dr Farhadi, Fig 4-4a
</t>
        </r>
      </text>
    </comment>
    <comment ref="N10" authorId="0" shapeId="0" xr:uid="{92D8BA7F-40DA-4EB4-B76E-DA49D75006C0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I13" authorId="0" shapeId="0" xr:uid="{F923E4BB-CC94-4A8E-9A4D-286E65981CE2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from Schlunder book, page 96, Fig 6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Bahareh</author>
    <author>Mohd.Reza Babaei</author>
    <author>Windows User</author>
  </authors>
  <commentList>
    <comment ref="F2" authorId="0" shapeId="0" xr:uid="{DB14D962-B1EB-4180-B31C-DB05592F9DBE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tema, R-4.71</t>
        </r>
      </text>
    </comment>
    <comment ref="J2" authorId="0" shapeId="0" xr:uid="{3E50800B-9312-4B8C-B8A0-261CEB189F35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booklet of Dr Farhadi, HEX 5 VER 8
</t>
        </r>
      </text>
    </comment>
    <comment ref="F4" authorId="1" shapeId="0" xr:uid="{8EEC3B5E-913E-4C25-A0D8-0997C185E279}">
      <text>
        <r>
          <rPr>
            <b/>
            <sz val="9"/>
            <color rgb="FF000000"/>
            <rFont val="Tahoma"/>
            <family val="2"/>
          </rPr>
          <t xml:space="preserve">TEMA 9th Ed
Page 51
</t>
        </r>
      </text>
    </comment>
    <comment ref="B6" authorId="1" shapeId="0" xr:uid="{63BB936F-D195-4498-9E33-8FC8859043D6}">
      <text>
        <r>
          <rPr>
            <b/>
            <sz val="9"/>
            <color rgb="FF000000"/>
            <rFont val="Tahoma"/>
            <family val="2"/>
          </rPr>
          <t>ASME Section VIII, Division 1</t>
        </r>
      </text>
    </comment>
    <comment ref="B7" authorId="2" shapeId="0" xr:uid="{D08FF0F9-C92A-489D-B8AC-02ADAD7D8C61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according to Schlunder
Page 1717</t>
        </r>
      </text>
    </comment>
    <comment ref="J11" authorId="0" shapeId="0" xr:uid="{2752F2C6-C402-4EC4-A787-3D32AD7E52C3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ASME, Page 24</t>
        </r>
      </text>
    </comment>
    <comment ref="F15" authorId="1" shapeId="0" xr:uid="{3838EB72-A5EF-4531-8CCB-7828FB1C8661}">
      <text>
        <r>
          <rPr>
            <b/>
            <sz val="9"/>
            <color rgb="FF000000"/>
            <rFont val="Tahoma"/>
            <family val="2"/>
          </rPr>
          <t>TEMA 9th Ed
Page 47</t>
        </r>
      </text>
    </comment>
    <comment ref="F20" authorId="1" shapeId="0" xr:uid="{DD3F21EE-5DCB-4128-882F-4246E063DB46}">
      <text>
        <r>
          <rPr>
            <b/>
            <sz val="9"/>
            <color rgb="FF000000"/>
            <rFont val="Tahoma"/>
            <family val="2"/>
          </rPr>
          <t xml:space="preserve">TEMA 9th Ed
Page 46
</t>
        </r>
      </text>
    </comment>
    <comment ref="F23" authorId="0" shapeId="0" xr:uid="{843BF48D-7D50-4BB1-BC86-59FFDCDCBC87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ANSI Flanges, page 11
</t>
        </r>
      </text>
    </comment>
    <comment ref="M23" authorId="0" shapeId="0" xr:uid="{8C4483D3-0AAE-4B13-81C2-04B37B96A1E0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ASME, Page 24</t>
        </r>
      </text>
    </comment>
    <comment ref="B24" authorId="1" shapeId="0" xr:uid="{8D703592-0318-4AC8-A141-17BB10894217}">
      <text>
        <r>
          <rPr>
            <b/>
            <sz val="9"/>
            <color rgb="FF000000"/>
            <rFont val="Tahoma"/>
            <family val="2"/>
          </rPr>
          <t xml:space="preserve">Project PDF
</t>
        </r>
      </text>
    </comment>
    <comment ref="B35" authorId="1" shapeId="0" xr:uid="{A8012064-854E-4135-A23F-5347E1BE676C}">
      <text>
        <r>
          <rPr>
            <b/>
            <sz val="9"/>
            <color rgb="FF000000"/>
            <rFont val="Tahoma"/>
            <family val="2"/>
          </rPr>
          <t xml:space="preserve">TEMA 9th Ed
Page 61 
C-7.11
</t>
        </r>
      </text>
    </comment>
    <comment ref="B36" authorId="1" shapeId="0" xr:uid="{B9759B63-D05E-42D6-9FED-15CCA4434134}">
      <text>
        <r>
          <rPr>
            <b/>
            <sz val="9"/>
            <color rgb="FF000000"/>
            <rFont val="Tahoma"/>
            <family val="2"/>
          </rPr>
          <t>TEMA 9th Ed
Page 68</t>
        </r>
      </text>
    </comment>
    <comment ref="B37" authorId="0" shapeId="0" xr:uid="{E7D74167-D53A-4FC8-9CC4-288190F16E4A}">
      <text>
        <r>
          <rPr>
            <b/>
            <sz val="16"/>
            <color indexed="81"/>
            <rFont val="Tahoma"/>
            <family val="2"/>
          </rPr>
          <t>Bahareh:</t>
        </r>
        <r>
          <rPr>
            <sz val="16"/>
            <color indexed="81"/>
            <rFont val="Tahoma"/>
            <family val="2"/>
          </rPr>
          <t xml:space="preserve">
Tema, Section 5, page 37, R-1.511
</t>
        </r>
      </text>
    </comment>
    <comment ref="B49" authorId="1" shapeId="0" xr:uid="{0547952A-EE56-42F7-B48E-5CA0523C60ED}">
      <text>
        <r>
          <rPr>
            <b/>
            <sz val="9"/>
            <color rgb="FF000000"/>
            <rFont val="Tahoma"/>
            <family val="2"/>
          </rPr>
          <t>ASME Section VIII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My Computer</author>
  </authors>
  <commentList>
    <comment ref="J5" authorId="0" shapeId="0" xr:uid="{FB11F79D-B3D3-4516-ABF5-75FA3DB4D487}">
      <text>
        <r>
          <rPr>
            <b/>
            <sz val="9"/>
            <color indexed="81"/>
            <rFont val="Tahoma"/>
            <family val="2"/>
          </rPr>
          <t>My Computer:</t>
        </r>
        <r>
          <rPr>
            <sz val="9"/>
            <color indexed="81"/>
            <rFont val="Tahoma"/>
            <family val="2"/>
          </rPr>
          <t xml:space="preserve">
https://blog.thepipingmart.com/metals/carbon-steel-vs-mild-steel-price-whats-the-difference/#:~:text=Carbon%20Steel%20Price&amp;text=The%20average%20price%20per%20ton%20ranges%20from%20%24800%2D%241%2C000,grade%20availability%20size%20and%20supplier.</t>
        </r>
      </text>
    </comment>
  </commentList>
</comments>
</file>

<file path=xl/sharedStrings.xml><?xml version="1.0" encoding="utf-8"?>
<sst xmlns="http://schemas.openxmlformats.org/spreadsheetml/2006/main" count="779" uniqueCount="472">
  <si>
    <t>Properties, Units</t>
  </si>
  <si>
    <t>Cold Stream (Shell side)</t>
  </si>
  <si>
    <t>Hot Stream (Tube side)</t>
  </si>
  <si>
    <t>Table 1 – Process conditions</t>
  </si>
  <si>
    <t>Total flow, kg/hr</t>
  </si>
  <si>
    <t>Inlet Pres., barg</t>
  </si>
  <si>
    <t>Max Allowable ΔP, bar</t>
  </si>
  <si>
    <t>Fouling Factor, m2.°C/W</t>
  </si>
  <si>
    <t>Temp, °C, out</t>
  </si>
  <si>
    <t>Temp, °C, In</t>
  </si>
  <si>
    <t>Tube</t>
  </si>
  <si>
    <t>OD</t>
  </si>
  <si>
    <t>Average thickness</t>
  </si>
  <si>
    <t>Material</t>
  </si>
  <si>
    <t>19.05 mm</t>
  </si>
  <si>
    <t>2.11 mm</t>
  </si>
  <si>
    <t>Killed Carbon Steel</t>
  </si>
  <si>
    <t>maximum No of passes</t>
  </si>
  <si>
    <t>Pattern</t>
  </si>
  <si>
    <t>30°</t>
  </si>
  <si>
    <t>Pitch</t>
  </si>
  <si>
    <t>25.4 mm</t>
  </si>
  <si>
    <t>Tube to baffle hole clearance</t>
  </si>
  <si>
    <t>According to TEMA</t>
  </si>
  <si>
    <t>Number of Sealing Strip</t>
  </si>
  <si>
    <t>Design pressure</t>
  </si>
  <si>
    <t>as per table 2</t>
  </si>
  <si>
    <t>Optional tube length</t>
  </si>
  <si>
    <t>12 or 16 or 20 ft</t>
  </si>
  <si>
    <t>Shell</t>
  </si>
  <si>
    <t>ID</t>
  </si>
  <si>
    <t>Max Bundle O.D. is 1140 mm</t>
  </si>
  <si>
    <t>Shell ID to bundle clearance
 and baffle OD clearance</t>
  </si>
  <si>
    <t>according to TEMA</t>
  </si>
  <si>
    <t>Table 2 – Design and operating pressure</t>
  </si>
  <si>
    <t>Operating Pressure, barg</t>
  </si>
  <si>
    <t>Design Pressure, barg</t>
  </si>
  <si>
    <t>0-10</t>
  </si>
  <si>
    <t>MOP + 1 barg</t>
  </si>
  <si>
    <t>MOP +10 %</t>
  </si>
  <si>
    <t>50 – 100</t>
  </si>
  <si>
    <t>MOP + 5 barg</t>
  </si>
  <si>
    <t>&gt; 100</t>
  </si>
  <si>
    <t>MOP + 5%</t>
  </si>
  <si>
    <t>MOP = Max Operating Pressure</t>
  </si>
  <si>
    <t>10- 50</t>
  </si>
  <si>
    <t>Temp</t>
  </si>
  <si>
    <t>Enthalpy</t>
  </si>
  <si>
    <t>Density</t>
  </si>
  <si>
    <t>Sp. Heat</t>
  </si>
  <si>
    <t>Therm. Cond</t>
  </si>
  <si>
    <t>Viscosity</t>
  </si>
  <si>
    <t>Surface Tension</t>
  </si>
  <si>
    <t>Critical Pre.</t>
  </si>
  <si>
    <t>Critical Temp.</t>
  </si>
  <si>
    <t>°C</t>
  </si>
  <si>
    <t>MW</t>
  </si>
  <si>
    <t>kg/m3</t>
  </si>
  <si>
    <t>kJ/(kg.K)</t>
  </si>
  <si>
    <t>W/(m.K)</t>
  </si>
  <si>
    <t>cP</t>
  </si>
  <si>
    <t>mN/m</t>
  </si>
  <si>
    <t>bara</t>
  </si>
  <si>
    <t>K</t>
  </si>
  <si>
    <t>Table 3 – Hot Side Physical Properties</t>
  </si>
  <si>
    <t>As</t>
  </si>
  <si>
    <t>Gs</t>
  </si>
  <si>
    <t>Us</t>
  </si>
  <si>
    <t>de</t>
  </si>
  <si>
    <t>Res</t>
  </si>
  <si>
    <t>Jh</t>
  </si>
  <si>
    <t>m^2</t>
  </si>
  <si>
    <t>kg/(m^2.s)</t>
  </si>
  <si>
    <t>m/s</t>
  </si>
  <si>
    <t>m</t>
  </si>
  <si>
    <t>W/(m^2.K)</t>
  </si>
  <si>
    <t>Table 3 – Cold Side Physical Properties</t>
  </si>
  <si>
    <t>Tube(SI)</t>
  </si>
  <si>
    <t>lB</t>
  </si>
  <si>
    <t>Shell(SI)</t>
  </si>
  <si>
    <t>data</t>
  </si>
  <si>
    <t>LMTD</t>
  </si>
  <si>
    <t>Q</t>
  </si>
  <si>
    <t>J/S</t>
  </si>
  <si>
    <t>Shell pas</t>
  </si>
  <si>
    <t>Tube pass</t>
  </si>
  <si>
    <t>F</t>
  </si>
  <si>
    <t>A</t>
  </si>
  <si>
    <t>Nt</t>
  </si>
  <si>
    <t>Ret</t>
  </si>
  <si>
    <t>hi</t>
  </si>
  <si>
    <t>temp_hot_mean</t>
  </si>
  <si>
    <t>temp_ cold mean</t>
  </si>
  <si>
    <t>Sp. Heat shell</t>
  </si>
  <si>
    <t>Sp. Heat tube</t>
  </si>
  <si>
    <t>Therm. Cond shell</t>
  </si>
  <si>
    <t xml:space="preserve">visc tube </t>
  </si>
  <si>
    <t xml:space="preserve">visc shell </t>
  </si>
  <si>
    <t>Density shell</t>
  </si>
  <si>
    <t>Density tube</t>
  </si>
  <si>
    <t>pr shell</t>
  </si>
  <si>
    <t>pr tube</t>
  </si>
  <si>
    <t xml:space="preserve">Therm. Cond tube </t>
  </si>
  <si>
    <t>Length Tube</t>
  </si>
  <si>
    <t>ho</t>
  </si>
  <si>
    <t>U dirty</t>
  </si>
  <si>
    <t>u(guess)</t>
  </si>
  <si>
    <t>Tw</t>
  </si>
  <si>
    <t>Jf</t>
  </si>
  <si>
    <t>f moody</t>
  </si>
  <si>
    <t>Delp shell</t>
  </si>
  <si>
    <t>del p tube</t>
  </si>
  <si>
    <t>ut</t>
  </si>
  <si>
    <t>toughnes</t>
  </si>
  <si>
    <t xml:space="preserve">Customer : </t>
  </si>
  <si>
    <t xml:space="preserve"> Address : </t>
  </si>
  <si>
    <t xml:space="preserve">Plant Location : </t>
  </si>
  <si>
    <t xml:space="preserve">Service of Unit : </t>
  </si>
  <si>
    <t>6096*993</t>
  </si>
  <si>
    <t xml:space="preserve"> Type : </t>
  </si>
  <si>
    <t>AFS</t>
  </si>
  <si>
    <t xml:space="preserve">Horizontal : </t>
  </si>
  <si>
    <t>Connected :</t>
  </si>
  <si>
    <r>
      <t>Parallel :</t>
    </r>
    <r>
      <rPr>
        <sz val="10"/>
        <color indexed="30"/>
        <rFont val="Times New Roman"/>
        <family val="1"/>
      </rPr>
      <t xml:space="preserve"> </t>
    </r>
  </si>
  <si>
    <t>2</t>
  </si>
  <si>
    <t>Vertical :</t>
  </si>
  <si>
    <t xml:space="preserve">Series : </t>
  </si>
  <si>
    <t>1</t>
  </si>
  <si>
    <t>No. of Units :</t>
  </si>
  <si>
    <r>
      <t>Surf/unit :</t>
    </r>
    <r>
      <rPr>
        <b/>
        <sz val="10"/>
        <color indexed="8"/>
        <rFont val="Times New Roman"/>
        <family val="1"/>
      </rPr>
      <t>m2</t>
    </r>
  </si>
  <si>
    <t>Gross :</t>
  </si>
  <si>
    <t>Shells/Unit :</t>
  </si>
  <si>
    <r>
      <t>Surf/shell :</t>
    </r>
    <r>
      <rPr>
        <b/>
        <sz val="10"/>
        <color indexed="8"/>
        <rFont val="Times New Roman"/>
        <family val="1"/>
      </rPr>
      <t>m²</t>
    </r>
  </si>
  <si>
    <t>Gross : 187</t>
  </si>
  <si>
    <t>m²</t>
  </si>
  <si>
    <t>Net :</t>
  </si>
  <si>
    <t>Net : 206</t>
  </si>
  <si>
    <t xml:space="preserve">            PERFRMANCE OF ONE UNIT</t>
  </si>
  <si>
    <t xml:space="preserve">        SHELL SIDE</t>
  </si>
  <si>
    <t xml:space="preserve">   TUBE SIIDE</t>
  </si>
  <si>
    <t>Fluid Allocation</t>
  </si>
  <si>
    <t>Inlet</t>
  </si>
  <si>
    <t>Outlet</t>
  </si>
  <si>
    <t xml:space="preserve">      Inlet  </t>
  </si>
  <si>
    <t>Fluid Name</t>
  </si>
  <si>
    <t>H1</t>
  </si>
  <si>
    <t>H2</t>
  </si>
  <si>
    <t>Fluid Quantity, Total (kg/s)</t>
  </si>
  <si>
    <t xml:space="preserve">Vapor </t>
  </si>
  <si>
    <t>0</t>
  </si>
  <si>
    <t>Liquid</t>
  </si>
  <si>
    <t>Steam</t>
  </si>
  <si>
    <t>Noncondensable</t>
  </si>
  <si>
    <t>Temperature        C</t>
  </si>
  <si>
    <t>Density (kg/m³)</t>
  </si>
  <si>
    <t>Viscosity (kg/m.s)</t>
  </si>
  <si>
    <t>Molecular Weight, Vapour</t>
  </si>
  <si>
    <t>Molecular Weight, Nc.</t>
  </si>
  <si>
    <t>Specific Heat (j/kg.c)</t>
  </si>
  <si>
    <t>Thermal Conductivity (w/m.c)</t>
  </si>
  <si>
    <t>Latent Heat (kj/kg)</t>
  </si>
  <si>
    <t>Inlet Pressure (bar)</t>
  </si>
  <si>
    <t>Velocity (m/s)</t>
  </si>
  <si>
    <t>Pressure Drop,Allow./Calc.(Pa)</t>
  </si>
  <si>
    <t>Fouling Resist. (m².c/w)</t>
  </si>
  <si>
    <t>Heat Exchanged (kw)</t>
  </si>
  <si>
    <t>L.M.T.D Corrected :</t>
  </si>
  <si>
    <t>Transfer Rate, (w/m².c)</t>
  </si>
  <si>
    <t>Dirty :</t>
  </si>
  <si>
    <t xml:space="preserve">Clean : </t>
  </si>
  <si>
    <t xml:space="preserve">% Over Design: </t>
  </si>
  <si>
    <t xml:space="preserve"> CONSTRUCTION</t>
  </si>
  <si>
    <t>Skech</t>
  </si>
  <si>
    <t>SHELL SIDE</t>
  </si>
  <si>
    <t>TUBE SIDE</t>
  </si>
  <si>
    <t>Design/Test pressure (kPa)</t>
  </si>
  <si>
    <t>Design Temperature ( c )</t>
  </si>
  <si>
    <t xml:space="preserve">Number of Passes </t>
  </si>
  <si>
    <t>Corrosion allowance(mm)</t>
  </si>
  <si>
    <t xml:space="preserve">Connections             Size   </t>
  </si>
  <si>
    <t>Flange:</t>
  </si>
  <si>
    <t xml:space="preserve">                                   Rating</t>
  </si>
  <si>
    <t xml:space="preserve">Tube No. : Per Shell      </t>
  </si>
  <si>
    <r>
      <t>OD :   (</t>
    </r>
    <r>
      <rPr>
        <b/>
        <sz val="10"/>
        <color indexed="8"/>
        <rFont val="Times New Roman"/>
        <family val="1"/>
      </rPr>
      <t>mm)</t>
    </r>
    <r>
      <rPr>
        <sz val="10"/>
        <color indexed="8"/>
        <rFont val="Times New Roman"/>
        <family val="1"/>
      </rPr>
      <t xml:space="preserve">        </t>
    </r>
  </si>
  <si>
    <t>BWG :</t>
  </si>
  <si>
    <r>
      <t xml:space="preserve">Length : </t>
    </r>
    <r>
      <rPr>
        <b/>
        <sz val="10"/>
        <color indexed="8"/>
        <rFont val="Times New Roman"/>
        <family val="1"/>
      </rPr>
      <t xml:space="preserve"> (m)</t>
    </r>
  </si>
  <si>
    <t>Pattern :</t>
  </si>
  <si>
    <t>Tube Type :</t>
  </si>
  <si>
    <t>plain</t>
  </si>
  <si>
    <t>Material:</t>
  </si>
  <si>
    <t>killed carbon steel</t>
  </si>
  <si>
    <t xml:space="preserve">Shell              </t>
  </si>
  <si>
    <r>
      <t>ID :</t>
    </r>
    <r>
      <rPr>
        <b/>
        <sz val="10"/>
        <color indexed="8"/>
        <rFont val="Times New Roman"/>
        <family val="1"/>
      </rPr>
      <t>(mm)</t>
    </r>
  </si>
  <si>
    <t>OD :(mm)</t>
  </si>
  <si>
    <t>Shell Cover :</t>
  </si>
  <si>
    <t>Channel or Bonnet :</t>
  </si>
  <si>
    <t>Channel Cover :</t>
  </si>
  <si>
    <t>Tubesheet-Stationary :</t>
  </si>
  <si>
    <t xml:space="preserve"> </t>
  </si>
  <si>
    <t>Tubesheet-Floating :</t>
  </si>
  <si>
    <t>Floating Head Cover :</t>
  </si>
  <si>
    <t/>
  </si>
  <si>
    <t>Impingement Protection :</t>
  </si>
  <si>
    <t>none</t>
  </si>
  <si>
    <t>Baffle-Crossing : 6</t>
  </si>
  <si>
    <t>Type :  single segmental</t>
  </si>
  <si>
    <t>Diameter :</t>
  </si>
  <si>
    <r>
      <t>Area :</t>
    </r>
    <r>
      <rPr>
        <b/>
        <sz val="10"/>
        <color indexed="8"/>
        <rFont val="Times New Roman"/>
        <family val="1"/>
      </rPr>
      <t>m2</t>
    </r>
  </si>
  <si>
    <t>Baffle-Long :mm</t>
  </si>
  <si>
    <t>Seal Type :</t>
  </si>
  <si>
    <t>Supports-Tube :</t>
  </si>
  <si>
    <t>U-bend :</t>
  </si>
  <si>
    <t>Type :</t>
  </si>
  <si>
    <t>Bypass Seal Arrangement :</t>
  </si>
  <si>
    <t>4</t>
  </si>
  <si>
    <t>Tube-Tubesheet Joint :</t>
  </si>
  <si>
    <t>Expansion Joint :</t>
  </si>
  <si>
    <t>RhoV2-Inlet Nozzle :</t>
  </si>
  <si>
    <t>Bundle Intrance :</t>
  </si>
  <si>
    <t>Bundle Exit :-</t>
  </si>
  <si>
    <t>Gaskets - Shell Side :</t>
  </si>
  <si>
    <t>metal jacket</t>
  </si>
  <si>
    <t>Gasket Tube Side  :</t>
  </si>
  <si>
    <t>TEMA Class :</t>
  </si>
  <si>
    <t>R</t>
  </si>
  <si>
    <r>
      <t xml:space="preserve">Weight/Shell&amp;Bundle Empty </t>
    </r>
    <r>
      <rPr>
        <b/>
        <sz val="10"/>
        <color indexed="8"/>
        <rFont val="Times New Roman"/>
        <family val="1"/>
      </rPr>
      <t>Kg</t>
    </r>
    <r>
      <rPr>
        <sz val="10"/>
        <color indexed="8"/>
        <rFont val="Times New Roman"/>
        <family val="1"/>
      </rPr>
      <t>:</t>
    </r>
  </si>
  <si>
    <t>Filled With Water  per Shell:</t>
  </si>
  <si>
    <r>
      <t>Bundle Only :</t>
    </r>
    <r>
      <rPr>
        <b/>
        <sz val="10"/>
        <color indexed="8"/>
        <rFont val="Times New Roman"/>
        <family val="1"/>
      </rPr>
      <t>Kg</t>
    </r>
  </si>
  <si>
    <t>Estimated Total Cost  :</t>
  </si>
  <si>
    <t>$</t>
  </si>
  <si>
    <t>Sign</t>
  </si>
  <si>
    <t>kf</t>
  </si>
  <si>
    <t>BELL METHOD</t>
  </si>
  <si>
    <t>Tc_in</t>
  </si>
  <si>
    <t>Tc_out</t>
  </si>
  <si>
    <t>Th_in</t>
  </si>
  <si>
    <t>Th_out</t>
  </si>
  <si>
    <t>U_old</t>
  </si>
  <si>
    <t>Area</t>
  </si>
  <si>
    <t>L</t>
  </si>
  <si>
    <t>Tube pitch</t>
  </si>
  <si>
    <t>Dctl</t>
  </si>
  <si>
    <t>Dotl</t>
  </si>
  <si>
    <t>Lbb</t>
  </si>
  <si>
    <t>Ds</t>
  </si>
  <si>
    <t>BC</t>
  </si>
  <si>
    <t>Theta(ctl)</t>
  </si>
  <si>
    <t>Theta(otl)</t>
  </si>
  <si>
    <t>Theta(Ds)</t>
  </si>
  <si>
    <t>Awg</t>
  </si>
  <si>
    <t>Fw</t>
  </si>
  <si>
    <t>Fc</t>
  </si>
  <si>
    <t>Ntw</t>
  </si>
  <si>
    <t>Awt</t>
  </si>
  <si>
    <t>Aw</t>
  </si>
  <si>
    <t>Dw</t>
  </si>
  <si>
    <t>Ntcc</t>
  </si>
  <si>
    <t>Lwp</t>
  </si>
  <si>
    <t>Ntcw</t>
  </si>
  <si>
    <t>Lbc</t>
  </si>
  <si>
    <t>Nb</t>
  </si>
  <si>
    <t>Lpl</t>
  </si>
  <si>
    <t>Aba</t>
  </si>
  <si>
    <t>Lsb</t>
  </si>
  <si>
    <t>Asb</t>
  </si>
  <si>
    <t>Ltb</t>
  </si>
  <si>
    <t>Atb</t>
  </si>
  <si>
    <t>Amb</t>
  </si>
  <si>
    <t>Wt kg/h</t>
  </si>
  <si>
    <t>Gs  kg/m^2s</t>
  </si>
  <si>
    <t>Viscosity_avg_s</t>
  </si>
  <si>
    <t>Re_s</t>
  </si>
  <si>
    <t>Cp_avg_s</t>
  </si>
  <si>
    <t>K_avg_s</t>
  </si>
  <si>
    <t>Pr_avg_s</t>
  </si>
  <si>
    <t>h_si</t>
  </si>
  <si>
    <t>Jc</t>
  </si>
  <si>
    <t>r_lm</t>
  </si>
  <si>
    <t>rs</t>
  </si>
  <si>
    <t>Jl</t>
  </si>
  <si>
    <t>P</t>
  </si>
  <si>
    <t>Rl</t>
  </si>
  <si>
    <t>Nss</t>
  </si>
  <si>
    <t>rss</t>
  </si>
  <si>
    <t>Cbh_Rb</t>
  </si>
  <si>
    <t>Sb</t>
  </si>
  <si>
    <t>Sm</t>
  </si>
  <si>
    <t>Fsbp</t>
  </si>
  <si>
    <t>Rb</t>
  </si>
  <si>
    <t>Cbh_Jb</t>
  </si>
  <si>
    <t>Jb</t>
  </si>
  <si>
    <t>Nc</t>
  </si>
  <si>
    <t>Jr</t>
  </si>
  <si>
    <t>Lbo=Lbi</t>
  </si>
  <si>
    <t>L*=Lo*=Li*</t>
  </si>
  <si>
    <t>Js</t>
  </si>
  <si>
    <t>J</t>
  </si>
  <si>
    <t>h_s</t>
  </si>
  <si>
    <t>density_avg_t</t>
  </si>
  <si>
    <t>u_t</t>
  </si>
  <si>
    <t>viscosity_avg_t</t>
  </si>
  <si>
    <t>Re_t</t>
  </si>
  <si>
    <t>K_avg_t</t>
  </si>
  <si>
    <t>Cp_avg_t</t>
  </si>
  <si>
    <t>Pr_avg_t</t>
  </si>
  <si>
    <t>h_t</t>
  </si>
  <si>
    <t>∆P_t   pa</t>
  </si>
  <si>
    <t>∆Pbi    pa</t>
  </si>
  <si>
    <t>∆Pc     pa</t>
  </si>
  <si>
    <t>Gw</t>
  </si>
  <si>
    <t>∆Pw     pa</t>
  </si>
  <si>
    <t>density_avg_s</t>
  </si>
  <si>
    <t>Rs</t>
  </si>
  <si>
    <t>∆Pe        pa</t>
  </si>
  <si>
    <r>
      <t>∆</t>
    </r>
    <r>
      <rPr>
        <sz val="10.25"/>
        <color theme="1"/>
        <rFont val="Calibri"/>
        <family val="2"/>
        <scheme val="minor"/>
      </rPr>
      <t>Ps      pa</t>
    </r>
  </si>
  <si>
    <t>U_clean</t>
  </si>
  <si>
    <t>fouling factor_s</t>
  </si>
  <si>
    <t>fouling factor_t</t>
  </si>
  <si>
    <t>U_dirty</t>
  </si>
  <si>
    <t>Correction of viscosity_s</t>
  </si>
  <si>
    <t>Correction of viscosity_t</t>
  </si>
  <si>
    <t>Tw_avg</t>
  </si>
  <si>
    <t>Area_overdesign</t>
  </si>
  <si>
    <t>Nt_overdesign</t>
  </si>
  <si>
    <t>Dotl_overdesign</t>
  </si>
  <si>
    <t>Lbb_overdesign</t>
  </si>
  <si>
    <t>Dctl_overdesign</t>
  </si>
  <si>
    <t>Ds_overdesign</t>
  </si>
  <si>
    <t>Lbc_overdesign</t>
  </si>
  <si>
    <t>J_overdesign</t>
  </si>
  <si>
    <t>Amb_overdesign</t>
  </si>
  <si>
    <t>Gs_overdesign</t>
  </si>
  <si>
    <t>h_si_overdesign</t>
  </si>
  <si>
    <t>h_s_overdesign</t>
  </si>
  <si>
    <t>U_dirty_overdesign</t>
  </si>
  <si>
    <t>C</t>
  </si>
  <si>
    <t>NTU</t>
  </si>
  <si>
    <t>epsilon</t>
  </si>
  <si>
    <t>Th_out_overdesign</t>
  </si>
  <si>
    <t>Tc_out_overdesign</t>
  </si>
  <si>
    <t>U_t_overdesign</t>
  </si>
  <si>
    <t>Re_t_overdesign</t>
  </si>
  <si>
    <t>h_t_overdesign</t>
  </si>
  <si>
    <t>U_clean_overdesign</t>
  </si>
  <si>
    <t>Q_overdesign</t>
  </si>
  <si>
    <t>LMTD_overdesign</t>
  </si>
  <si>
    <t>KERN METHOD</t>
  </si>
  <si>
    <t>Nt New</t>
  </si>
  <si>
    <t>Tie Rods</t>
  </si>
  <si>
    <t>Shell Type</t>
  </si>
  <si>
    <t>Number</t>
  </si>
  <si>
    <t>Number Of Shell Passes</t>
  </si>
  <si>
    <t>Diameter</t>
  </si>
  <si>
    <t>Thickness</t>
  </si>
  <si>
    <t>Length</t>
  </si>
  <si>
    <t>Joint Efficiency</t>
  </si>
  <si>
    <t>Spacer</t>
  </si>
  <si>
    <t>Design Pressure</t>
  </si>
  <si>
    <t>barg</t>
  </si>
  <si>
    <t>thickness</t>
  </si>
  <si>
    <t>-</t>
  </si>
  <si>
    <t>ID Shell</t>
  </si>
  <si>
    <t>Sealing Strip</t>
  </si>
  <si>
    <t>Max Allowable stress</t>
  </si>
  <si>
    <t>Mpa</t>
  </si>
  <si>
    <t>OD Shell</t>
  </si>
  <si>
    <t>Corrosion Allowance</t>
  </si>
  <si>
    <t>in</t>
  </si>
  <si>
    <t>v</t>
  </si>
  <si>
    <t>m^3</t>
  </si>
  <si>
    <t>Type</t>
  </si>
  <si>
    <t>mm</t>
  </si>
  <si>
    <t>Baffles</t>
  </si>
  <si>
    <t>Cut</t>
  </si>
  <si>
    <t>Baffle Spacing</t>
  </si>
  <si>
    <t>No. Baffle</t>
  </si>
  <si>
    <t>Test Pressure</t>
  </si>
  <si>
    <t xml:space="preserve">barg </t>
  </si>
  <si>
    <t>OD Baffle</t>
  </si>
  <si>
    <t>Starting Baffle Space</t>
  </si>
  <si>
    <t>No. Pass</t>
  </si>
  <si>
    <t>End Baffle Space</t>
  </si>
  <si>
    <t>deg</t>
  </si>
  <si>
    <t>Shell to Baffle Clearance</t>
  </si>
  <si>
    <t>Tube Sheet</t>
  </si>
  <si>
    <t>flanges</t>
  </si>
  <si>
    <t>Fixed Tubesheet</t>
  </si>
  <si>
    <t>O</t>
  </si>
  <si>
    <t>Hole Diameter</t>
  </si>
  <si>
    <t>0.0.01905</t>
  </si>
  <si>
    <t>X</t>
  </si>
  <si>
    <t>Corrosion</t>
  </si>
  <si>
    <t>Y</t>
  </si>
  <si>
    <t>Real Thickness</t>
  </si>
  <si>
    <t>Maximum Allowable Stress</t>
  </si>
  <si>
    <t>diameter of holes</t>
  </si>
  <si>
    <t>holes number</t>
  </si>
  <si>
    <t>flanges number</t>
  </si>
  <si>
    <t>Header</t>
  </si>
  <si>
    <t>Type Of Rear Header</t>
  </si>
  <si>
    <t>S</t>
  </si>
  <si>
    <t>Diameter Of Header</t>
  </si>
  <si>
    <t>Length of Header</t>
  </si>
  <si>
    <t xml:space="preserve">Shell </t>
  </si>
  <si>
    <t>Bundle</t>
  </si>
  <si>
    <t>kg/m^3</t>
  </si>
  <si>
    <t>Part</t>
  </si>
  <si>
    <t>Volume (m^3)</t>
  </si>
  <si>
    <t>Weight (kg)</t>
  </si>
  <si>
    <t>One Tube</t>
  </si>
  <si>
    <t>Number Of Tubes</t>
  </si>
  <si>
    <t>Tubes</t>
  </si>
  <si>
    <t>Nozzles</t>
  </si>
  <si>
    <t>One TubeSheet</t>
  </si>
  <si>
    <t>Front Header</t>
  </si>
  <si>
    <t>Rear Header</t>
  </si>
  <si>
    <t>One Tie Rod</t>
  </si>
  <si>
    <t>Number Of Tie Rods</t>
  </si>
  <si>
    <t>One Baffle</t>
  </si>
  <si>
    <t>Number Of Baffles</t>
  </si>
  <si>
    <t>Total</t>
  </si>
  <si>
    <t>Design Temp</t>
  </si>
  <si>
    <t>c</t>
  </si>
  <si>
    <t>V</t>
  </si>
  <si>
    <t>pv^2</t>
  </si>
  <si>
    <t>density</t>
  </si>
  <si>
    <t>flow in(kg/s)</t>
  </si>
  <si>
    <t>u(m/s)</t>
  </si>
  <si>
    <t>joint efff</t>
  </si>
  <si>
    <t>nozzle(Shell in)</t>
  </si>
  <si>
    <t>nozzle(tube in)</t>
  </si>
  <si>
    <t>pa</t>
  </si>
  <si>
    <t>nozzle(tube out)</t>
  </si>
  <si>
    <t>nozzle(Shell out)</t>
  </si>
  <si>
    <t>Yes</t>
  </si>
  <si>
    <t>No</t>
  </si>
  <si>
    <t>Code Requirements :        ASME Code</t>
  </si>
  <si>
    <t>Floating head :yes</t>
  </si>
  <si>
    <r>
      <t>Size :</t>
    </r>
    <r>
      <rPr>
        <b/>
        <sz val="10"/>
        <color indexed="8"/>
        <rFont val="Times New Roman"/>
        <family val="1"/>
      </rPr>
      <t>(mm)                      1014.3*1520</t>
    </r>
  </si>
  <si>
    <t>Table3 - Values of Chemical Engineering Cost Index</t>
  </si>
  <si>
    <t>Walas Method</t>
  </si>
  <si>
    <t xml:space="preserve">Year </t>
  </si>
  <si>
    <t xml:space="preserve">Chem Eng Cost Index </t>
  </si>
  <si>
    <t>Marshall &amp; Swift
equipment cost index</t>
  </si>
  <si>
    <t>A ( Heat Transfer Area in ft^2 )</t>
  </si>
  <si>
    <t>material price($)</t>
  </si>
  <si>
    <t>fd (floating head)</t>
  </si>
  <si>
    <t>material</t>
  </si>
  <si>
    <t xml:space="preserve">fp </t>
  </si>
  <si>
    <t>ppw($/ton)</t>
  </si>
  <si>
    <t>fm</t>
  </si>
  <si>
    <t>weight(ton)</t>
  </si>
  <si>
    <t>Cb</t>
  </si>
  <si>
    <t>total material price</t>
  </si>
  <si>
    <t xml:space="preserve">Cost </t>
  </si>
  <si>
    <t>Basic</t>
  </si>
  <si>
    <t>Year</t>
  </si>
  <si>
    <t>Cost ( Chem Eng Cost Index )</t>
  </si>
  <si>
    <t>Cost ( Marshall &amp; Swift
equipment cost index )</t>
  </si>
  <si>
    <t>Richardson &amp; Coulson</t>
  </si>
  <si>
    <t>A (m^2)</t>
  </si>
  <si>
    <t>Bare Cost From Figure</t>
  </si>
  <si>
    <t>Type Factor</t>
  </si>
  <si>
    <t>Pressure Factor</t>
  </si>
  <si>
    <t>Purchased Cost ( in 2004 )</t>
  </si>
  <si>
    <t>a</t>
  </si>
  <si>
    <t>ft^2</t>
  </si>
  <si>
    <t>ton</t>
  </si>
  <si>
    <t>kg</t>
  </si>
  <si>
    <t>Others</t>
  </si>
  <si>
    <t>Total(empty weight)</t>
  </si>
  <si>
    <t>Ful 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</si>
</sst>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"/>
    <numFmt numFmtId="166" formatCode="0.0000000"/>
    <numFmt numFmtId="167" formatCode="0.00000"/>
    <numFmt numFmtId="168" formatCode="0.000000"/>
    <numFmt numFmtId="169" formatCode="0.0"/>
    <numFmt numFmtId="170" formatCode="0.00000000000000000"/>
  </numFmts>
  <fonts count="50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6"/>
      <color indexed="81"/>
      <name val="Tahoma"/>
      <family val="2"/>
    </font>
    <font>
      <b/>
      <sz val="16"/>
      <color indexed="81"/>
      <name val="Tahoma"/>
      <family val="2"/>
    </font>
    <font>
      <sz val="11"/>
      <color rgb="FF595959"/>
      <name val="Times New Roman"/>
      <family val="1"/>
    </font>
    <font>
      <sz val="10.5"/>
      <name val="Zar"/>
      <charset val="178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rgb="FF0070C0"/>
      <name val="Arial"/>
      <family val="2"/>
    </font>
    <font>
      <sz val="10"/>
      <color rgb="FF0070C0"/>
      <name val="Times New Roman"/>
      <family val="1"/>
    </font>
    <font>
      <sz val="10"/>
      <color indexed="30"/>
      <name val="Times New Roman"/>
      <family val="1"/>
    </font>
    <font>
      <b/>
      <sz val="10"/>
      <color rgb="FF0070C0"/>
      <name val="Times New Roman"/>
      <family val="1"/>
    </font>
    <font>
      <sz val="10"/>
      <color theme="1"/>
      <name val="Calibri"/>
      <family val="2"/>
      <scheme val="minor"/>
    </font>
    <font>
      <u/>
      <sz val="10"/>
      <color indexed="12"/>
      <name val="Arial"/>
      <family val="2"/>
    </font>
    <font>
      <u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sz val="11"/>
      <color theme="0"/>
      <name val="Calibri"/>
      <family val="2"/>
      <charset val="178"/>
      <scheme val="minor"/>
    </font>
    <font>
      <b/>
      <sz val="15"/>
      <color theme="3"/>
      <name val="Calibri"/>
      <family val="2"/>
      <charset val="178"/>
      <scheme val="minor"/>
    </font>
    <font>
      <b/>
      <sz val="11"/>
      <color rgb="FFFA7D00"/>
      <name val="Calibri"/>
      <family val="2"/>
      <charset val="178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</font>
    <font>
      <sz val="10.25"/>
      <color theme="1"/>
      <name val="Calibri"/>
      <family val="2"/>
      <scheme val="minor"/>
    </font>
    <font>
      <b/>
      <sz val="11"/>
      <color theme="0"/>
      <name val="Calibri"/>
      <family val="2"/>
      <charset val="178"/>
      <scheme val="minor"/>
    </font>
    <font>
      <b/>
      <sz val="9"/>
      <color rgb="FF000000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Times New Roman"/>
      <family val="1"/>
    </font>
    <font>
      <sz val="11"/>
      <name val="Times New Roman"/>
      <family val="1"/>
    </font>
    <font>
      <sz val="11"/>
      <color theme="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onsolas"/>
      <family val="3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rgb="FFFF99CC"/>
        <bgColor indexed="64"/>
      </patternFill>
    </fill>
    <fill>
      <patternFill patternType="solid">
        <fgColor rgb="FFFF99CC"/>
        <bgColor theme="4" tint="0.79998168889431442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0.59999389629810485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CC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002060"/>
        <bgColor rgb="FF9BC2E6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rgb="FF9BC2E6"/>
      </patternFill>
    </fill>
    <fill>
      <patternFill patternType="solid">
        <fgColor theme="0" tint="-0.14999847407452621"/>
        <bgColor rgb="FF9BC2E6"/>
      </patternFill>
    </fill>
    <fill>
      <patternFill patternType="solid">
        <fgColor theme="4" tint="0.79998168889431442"/>
        <bgColor rgb="FF9BC2E6"/>
      </patternFill>
    </fill>
    <fill>
      <patternFill patternType="solid">
        <fgColor theme="4" tint="0.59999389629810485"/>
        <bgColor indexed="64"/>
      </patternFill>
    </fill>
  </fills>
  <borders count="5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4" tint="0.3999755851924192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63">
    <xf numFmtId="0" fontId="0" fillId="0" borderId="0"/>
    <xf numFmtId="0" fontId="5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18" fillId="0" borderId="0"/>
    <xf numFmtId="0" fontId="19" fillId="8" borderId="0" applyNumberFormat="0" applyBorder="0" applyAlignment="0" applyProtection="0"/>
    <xf numFmtId="0" fontId="18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8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5" borderId="0" applyNumberFormat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9" borderId="0" applyNumberFormat="0" applyBorder="0" applyAlignment="0" applyProtection="0"/>
    <xf numFmtId="0" fontId="18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18" borderId="0" applyNumberFormat="0" applyBorder="0" applyAlignment="0" applyProtection="0"/>
    <xf numFmtId="0" fontId="20" fillId="0" borderId="32" applyNumberFormat="0" applyFill="0" applyAlignment="0" applyProtection="0"/>
    <xf numFmtId="0" fontId="21" fillId="6" borderId="33" applyNumberFormat="0" applyAlignment="0" applyProtection="0"/>
    <xf numFmtId="0" fontId="18" fillId="14" borderId="0" applyNumberFormat="0" applyBorder="0" applyAlignment="0" applyProtection="0"/>
    <xf numFmtId="0" fontId="25" fillId="7" borderId="34" applyNumberFormat="0" applyAlignment="0" applyProtection="0"/>
    <xf numFmtId="0" fontId="31" fillId="15" borderId="0" applyNumberFormat="0" applyBorder="0" applyAlignment="0" applyProtection="0"/>
    <xf numFmtId="0" fontId="32" fillId="0" borderId="0" applyNumberFormat="0" applyFill="0" applyBorder="0" applyAlignment="0" applyProtection="0"/>
    <xf numFmtId="0" fontId="33" fillId="0" borderId="32" applyNumberFormat="0" applyFill="0" applyAlignment="0" applyProtection="0"/>
    <xf numFmtId="0" fontId="34" fillId="0" borderId="45" applyNumberFormat="0" applyFill="0" applyAlignment="0" applyProtection="0"/>
    <xf numFmtId="0" fontId="35" fillId="0" borderId="46" applyNumberFormat="0" applyFill="0" applyAlignment="0" applyProtection="0"/>
    <xf numFmtId="0" fontId="35" fillId="0" borderId="0" applyNumberFormat="0" applyFill="0" applyBorder="0" applyAlignment="0" applyProtection="0"/>
    <xf numFmtId="0" fontId="36" fillId="45" borderId="0" applyNumberFormat="0" applyBorder="0" applyAlignment="0" applyProtection="0"/>
    <xf numFmtId="0" fontId="37" fillId="46" borderId="0" applyNumberFormat="0" applyBorder="0" applyAlignment="0" applyProtection="0"/>
    <xf numFmtId="0" fontId="38" fillId="48" borderId="33" applyNumberFormat="0" applyAlignment="0" applyProtection="0"/>
    <xf numFmtId="0" fontId="39" fillId="6" borderId="47" applyNumberFormat="0" applyAlignment="0" applyProtection="0"/>
    <xf numFmtId="0" fontId="40" fillId="6" borderId="33" applyNumberFormat="0" applyAlignment="0" applyProtection="0"/>
    <xf numFmtId="0" fontId="41" fillId="0" borderId="48" applyNumberFormat="0" applyFill="0" applyAlignment="0" applyProtection="0"/>
    <xf numFmtId="0" fontId="42" fillId="7" borderId="34" applyNumberFormat="0" applyAlignment="0" applyProtection="0"/>
    <xf numFmtId="0" fontId="43" fillId="0" borderId="0" applyNumberFormat="0" applyFill="0" applyBorder="0" applyAlignment="0" applyProtection="0"/>
    <xf numFmtId="0" fontId="17" fillId="49" borderId="49" applyNumberFormat="0" applyFont="0" applyAlignment="0" applyProtection="0"/>
    <xf numFmtId="0" fontId="44" fillId="0" borderId="0" applyNumberFormat="0" applyFill="0" applyBorder="0" applyAlignment="0" applyProtection="0"/>
    <xf numFmtId="0" fontId="45" fillId="0" borderId="50" applyNumberFormat="0" applyFill="0" applyAlignment="0" applyProtection="0"/>
    <xf numFmtId="0" fontId="31" fillId="8" borderId="0" applyNumberFormat="0" applyBorder="0" applyAlignment="0" applyProtection="0"/>
    <xf numFmtId="0" fontId="17" fillId="50" borderId="0" applyNumberFormat="0" applyBorder="0" applyAlignment="0" applyProtection="0"/>
    <xf numFmtId="0" fontId="17" fillId="9" borderId="0" applyNumberFormat="0" applyBorder="0" applyAlignment="0" applyProtection="0"/>
    <xf numFmtId="0" fontId="31" fillId="11" borderId="0" applyNumberFormat="0" applyBorder="0" applyAlignment="0" applyProtection="0"/>
    <xf numFmtId="0" fontId="17" fillId="51" borderId="0" applyNumberFormat="0" applyBorder="0" applyAlignment="0" applyProtection="0"/>
    <xf numFmtId="0" fontId="17" fillId="12" borderId="0" applyNumberFormat="0" applyBorder="0" applyAlignment="0" applyProtection="0"/>
    <xf numFmtId="0" fontId="31" fillId="52" borderId="0" applyNumberFormat="0" applyBorder="0" applyAlignment="0" applyProtection="0"/>
    <xf numFmtId="0" fontId="17" fillId="14" borderId="0" applyNumberFormat="0" applyBorder="0" applyAlignment="0" applyProtection="0"/>
    <xf numFmtId="0" fontId="17" fillId="53" borderId="0" applyNumberFormat="0" applyBorder="0" applyAlignment="0" applyProtection="0"/>
    <xf numFmtId="0" fontId="17" fillId="55" borderId="0" applyNumberFormat="0" applyBorder="0" applyAlignment="0" applyProtection="0"/>
    <xf numFmtId="0" fontId="17" fillId="16" borderId="0" applyNumberFormat="0" applyBorder="0" applyAlignment="0" applyProtection="0"/>
    <xf numFmtId="0" fontId="31" fillId="18" borderId="0" applyNumberFormat="0" applyBorder="0" applyAlignment="0" applyProtection="0"/>
    <xf numFmtId="0" fontId="17" fillId="56" borderId="0" applyNumberFormat="0" applyBorder="0" applyAlignment="0" applyProtection="0"/>
    <xf numFmtId="0" fontId="17" fillId="57" borderId="0" applyNumberFormat="0" applyBorder="0" applyAlignment="0" applyProtection="0"/>
    <xf numFmtId="0" fontId="31" fillId="19" borderId="0" applyNumberFormat="0" applyBorder="0" applyAlignment="0" applyProtection="0"/>
    <xf numFmtId="0" fontId="17" fillId="59" borderId="0" applyNumberFormat="0" applyBorder="0" applyAlignment="0" applyProtection="0"/>
    <xf numFmtId="0" fontId="17" fillId="20" borderId="0" applyNumberFormat="0" applyBorder="0" applyAlignment="0" applyProtection="0"/>
    <xf numFmtId="0" fontId="46" fillId="47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54" borderId="0" applyNumberFormat="0" applyBorder="0" applyAlignment="0" applyProtection="0"/>
    <xf numFmtId="0" fontId="31" fillId="17" borderId="0" applyNumberFormat="0" applyBorder="0" applyAlignment="0" applyProtection="0"/>
    <xf numFmtId="0" fontId="31" fillId="58" borderId="0" applyNumberFormat="0" applyBorder="0" applyAlignment="0" applyProtection="0"/>
    <xf numFmtId="0" fontId="31" fillId="21" borderId="0" applyNumberFormat="0" applyBorder="0" applyAlignment="0" applyProtection="0"/>
    <xf numFmtId="0" fontId="47" fillId="60" borderId="41">
      <alignment horizontal="center"/>
    </xf>
  </cellStyleXfs>
  <cellXfs count="315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7" fontId="1" fillId="0" borderId="0" xfId="0" applyNumberFormat="1" applyFont="1" applyAlignment="1">
      <alignment horizontal="center"/>
    </xf>
    <xf numFmtId="0" fontId="1" fillId="25" borderId="0" xfId="0" applyFont="1" applyFill="1" applyAlignment="1">
      <alignment horizontal="center" vertical="center"/>
    </xf>
    <xf numFmtId="0" fontId="1" fillId="24" borderId="0" xfId="0" applyFont="1" applyFill="1" applyAlignment="1">
      <alignment horizontal="center" vertical="center"/>
    </xf>
    <xf numFmtId="0" fontId="1" fillId="28" borderId="0" xfId="0" applyFont="1" applyFill="1" applyAlignment="1">
      <alignment horizontal="center" vertical="center"/>
    </xf>
    <xf numFmtId="0" fontId="1" fillId="26" borderId="0" xfId="0" applyFont="1" applyFill="1" applyAlignment="1">
      <alignment horizontal="center" vertical="center"/>
    </xf>
    <xf numFmtId="0" fontId="1" fillId="24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1" fillId="0" borderId="0" xfId="0" applyFont="1" applyAlignment="1">
      <alignment vertical="center"/>
    </xf>
    <xf numFmtId="0" fontId="1" fillId="30" borderId="1" xfId="0" applyFont="1" applyFill="1" applyBorder="1" applyAlignment="1">
      <alignment horizontal="center" vertical="center"/>
    </xf>
    <xf numFmtId="0" fontId="1" fillId="31" borderId="1" xfId="0" applyFont="1" applyFill="1" applyBorder="1" applyAlignment="1">
      <alignment horizontal="center" vertical="center"/>
    </xf>
    <xf numFmtId="0" fontId="1" fillId="32" borderId="2" xfId="0" applyFont="1" applyFill="1" applyBorder="1" applyAlignment="1">
      <alignment horizontal="center" vertical="center"/>
    </xf>
    <xf numFmtId="0" fontId="1" fillId="33" borderId="2" xfId="0" applyFont="1" applyFill="1" applyBorder="1" applyAlignment="1">
      <alignment horizontal="center" vertical="center"/>
    </xf>
    <xf numFmtId="0" fontId="1" fillId="31" borderId="1" xfId="0" applyFont="1" applyFill="1" applyBorder="1" applyAlignment="1">
      <alignment horizontal="center" vertical="center" wrapText="1"/>
    </xf>
    <xf numFmtId="0" fontId="1" fillId="30" borderId="35" xfId="0" applyFont="1" applyFill="1" applyBorder="1" applyAlignment="1">
      <alignment horizontal="center" vertical="center"/>
    </xf>
    <xf numFmtId="0" fontId="1" fillId="32" borderId="25" xfId="0" applyFont="1" applyFill="1" applyBorder="1" applyAlignment="1">
      <alignment horizontal="center" vertical="center"/>
    </xf>
    <xf numFmtId="0" fontId="1" fillId="34" borderId="36" xfId="0" applyFont="1" applyFill="1" applyBorder="1" applyAlignment="1">
      <alignment horizontal="center" vertical="center"/>
    </xf>
    <xf numFmtId="0" fontId="1" fillId="31" borderId="35" xfId="0" applyFont="1" applyFill="1" applyBorder="1" applyAlignment="1">
      <alignment horizontal="center" vertical="center"/>
    </xf>
    <xf numFmtId="0" fontId="1" fillId="33" borderId="25" xfId="0" applyFont="1" applyFill="1" applyBorder="1" applyAlignment="1">
      <alignment horizontal="center" vertical="center"/>
    </xf>
    <xf numFmtId="0" fontId="1" fillId="27" borderId="36" xfId="0" applyFont="1" applyFill="1" applyBorder="1" applyAlignment="1">
      <alignment horizontal="center" vertical="center"/>
    </xf>
    <xf numFmtId="0" fontId="1" fillId="31" borderId="23" xfId="0" applyFont="1" applyFill="1" applyBorder="1" applyAlignment="1">
      <alignment horizontal="center" vertical="center"/>
    </xf>
    <xf numFmtId="0" fontId="1" fillId="27" borderId="9" xfId="0" applyFont="1" applyFill="1" applyBorder="1" applyAlignment="1">
      <alignment horizontal="center" vertical="center"/>
    </xf>
    <xf numFmtId="0" fontId="1" fillId="31" borderId="24" xfId="0" applyFont="1" applyFill="1" applyBorder="1" applyAlignment="1">
      <alignment horizontal="center" vertical="center"/>
    </xf>
    <xf numFmtId="0" fontId="1" fillId="33" borderId="37" xfId="0" applyFont="1" applyFill="1" applyBorder="1" applyAlignment="1">
      <alignment horizontal="center" vertical="center"/>
    </xf>
    <xf numFmtId="0" fontId="1" fillId="27" borderId="22" xfId="0" applyFont="1" applyFill="1" applyBorder="1" applyAlignment="1">
      <alignment horizontal="center" vertical="center"/>
    </xf>
    <xf numFmtId="0" fontId="1" fillId="33" borderId="9" xfId="0" applyFont="1" applyFill="1" applyBorder="1" applyAlignment="1">
      <alignment horizontal="center" vertical="center"/>
    </xf>
    <xf numFmtId="0" fontId="1" fillId="35" borderId="23" xfId="0" applyFont="1" applyFill="1" applyBorder="1" applyAlignment="1">
      <alignment horizontal="center" vertical="center"/>
    </xf>
    <xf numFmtId="0" fontId="1" fillId="33" borderId="9" xfId="0" applyFont="1" applyFill="1" applyBorder="1" applyAlignment="1">
      <alignment horizontal="center" vertical="center" readingOrder="1"/>
    </xf>
    <xf numFmtId="0" fontId="18" fillId="24" borderId="23" xfId="3" applyFill="1" applyBorder="1" applyAlignment="1">
      <alignment horizontal="center" vertical="center"/>
    </xf>
    <xf numFmtId="0" fontId="0" fillId="22" borderId="9" xfId="0" applyFill="1" applyBorder="1" applyAlignment="1">
      <alignment horizontal="center" vertical="center"/>
    </xf>
    <xf numFmtId="0" fontId="17" fillId="24" borderId="23" xfId="3" applyFont="1" applyFill="1" applyBorder="1" applyAlignment="1">
      <alignment horizontal="center" vertical="center"/>
    </xf>
    <xf numFmtId="0" fontId="23" fillId="24" borderId="23" xfId="3" applyFont="1" applyFill="1" applyBorder="1" applyAlignment="1">
      <alignment horizontal="center" vertical="center"/>
    </xf>
    <xf numFmtId="11" fontId="0" fillId="22" borderId="9" xfId="0" applyNumberFormat="1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17" fillId="24" borderId="24" xfId="3" applyFont="1" applyFill="1" applyBorder="1" applyAlignment="1">
      <alignment horizontal="center" vertical="center"/>
    </xf>
    <xf numFmtId="0" fontId="0" fillId="22" borderId="22" xfId="0" applyFill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9" fillId="39" borderId="42" xfId="0" applyNumberFormat="1" applyFont="1" applyFill="1" applyBorder="1" applyAlignment="1">
      <alignment horizontal="center" vertical="center"/>
    </xf>
    <xf numFmtId="164" fontId="29" fillId="40" borderId="44" xfId="0" applyNumberFormat="1" applyFont="1" applyFill="1" applyBorder="1" applyAlignment="1">
      <alignment horizontal="center" vertical="center"/>
    </xf>
    <xf numFmtId="164" fontId="29" fillId="41" borderId="41" xfId="0" applyNumberFormat="1" applyFont="1" applyFill="1" applyBorder="1" applyAlignment="1">
      <alignment horizontal="center" vertical="center"/>
    </xf>
    <xf numFmtId="164" fontId="29" fillId="40" borderId="40" xfId="0" applyNumberFormat="1" applyFont="1" applyFill="1" applyBorder="1" applyAlignment="1">
      <alignment horizontal="center" vertical="center"/>
    </xf>
    <xf numFmtId="164" fontId="29" fillId="41" borderId="43" xfId="0" applyNumberFormat="1" applyFont="1" applyFill="1" applyBorder="1" applyAlignment="1">
      <alignment horizontal="center" vertical="center"/>
    </xf>
    <xf numFmtId="164" fontId="29" fillId="39" borderId="44" xfId="0" applyNumberFormat="1" applyFont="1" applyFill="1" applyBorder="1" applyAlignment="1">
      <alignment horizontal="center" vertical="center"/>
    </xf>
    <xf numFmtId="164" fontId="29" fillId="39" borderId="41" xfId="0" applyNumberFormat="1" applyFont="1" applyFill="1" applyBorder="1" applyAlignment="1">
      <alignment horizontal="center" vertical="center"/>
    </xf>
    <xf numFmtId="164" fontId="29" fillId="39" borderId="40" xfId="0" applyNumberFormat="1" applyFont="1" applyFill="1" applyBorder="1" applyAlignment="1">
      <alignment horizontal="center" vertical="center"/>
    </xf>
    <xf numFmtId="164" fontId="29" fillId="39" borderId="43" xfId="0" applyNumberFormat="1" applyFont="1" applyFill="1" applyBorder="1" applyAlignment="1">
      <alignment horizontal="center" vertical="center"/>
    </xf>
    <xf numFmtId="164" fontId="29" fillId="39" borderId="38" xfId="0" applyNumberFormat="1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0" fontId="1" fillId="4" borderId="23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horizontal="center" vertical="center"/>
    </xf>
    <xf numFmtId="0" fontId="1" fillId="4" borderId="37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164" fontId="29" fillId="40" borderId="41" xfId="0" applyNumberFormat="1" applyFont="1" applyFill="1" applyBorder="1" applyAlignment="1">
      <alignment horizontal="center" vertical="center"/>
    </xf>
    <xf numFmtId="164" fontId="29" fillId="40" borderId="42" xfId="0" applyNumberFormat="1" applyFont="1" applyFill="1" applyBorder="1" applyAlignment="1">
      <alignment horizontal="center" vertical="center"/>
    </xf>
    <xf numFmtId="164" fontId="29" fillId="40" borderId="43" xfId="0" applyNumberFormat="1" applyFont="1" applyFill="1" applyBorder="1" applyAlignment="1">
      <alignment horizontal="center" vertical="center"/>
    </xf>
    <xf numFmtId="164" fontId="29" fillId="40" borderId="38" xfId="0" applyNumberFormat="1" applyFont="1" applyFill="1" applyBorder="1" applyAlignment="1">
      <alignment horizontal="center" vertical="center"/>
    </xf>
    <xf numFmtId="164" fontId="29" fillId="41" borderId="44" xfId="0" applyNumberFormat="1" applyFont="1" applyFill="1" applyBorder="1" applyAlignment="1">
      <alignment horizontal="center" vertical="center"/>
    </xf>
    <xf numFmtId="164" fontId="29" fillId="41" borderId="42" xfId="0" applyNumberFormat="1" applyFont="1" applyFill="1" applyBorder="1" applyAlignment="1">
      <alignment horizontal="center" vertical="center"/>
    </xf>
    <xf numFmtId="164" fontId="29" fillId="41" borderId="40" xfId="0" applyNumberFormat="1" applyFont="1" applyFill="1" applyBorder="1" applyAlignment="1">
      <alignment horizontal="center" vertical="center"/>
    </xf>
    <xf numFmtId="164" fontId="29" fillId="41" borderId="38" xfId="0" applyNumberFormat="1" applyFont="1" applyFill="1" applyBorder="1" applyAlignment="1">
      <alignment horizontal="center" vertical="center"/>
    </xf>
    <xf numFmtId="164" fontId="29" fillId="37" borderId="41" xfId="0" applyNumberFormat="1" applyFont="1" applyFill="1" applyBorder="1" applyAlignment="1">
      <alignment horizontal="center" vertical="center"/>
    </xf>
    <xf numFmtId="164" fontId="29" fillId="37" borderId="42" xfId="0" applyNumberFormat="1" applyFont="1" applyFill="1" applyBorder="1" applyAlignment="1">
      <alignment horizontal="center" vertical="center"/>
    </xf>
    <xf numFmtId="164" fontId="1" fillId="22" borderId="23" xfId="0" applyNumberFormat="1" applyFont="1" applyFill="1" applyBorder="1" applyAlignment="1">
      <alignment horizontal="center" vertical="center"/>
    </xf>
    <xf numFmtId="0" fontId="1" fillId="22" borderId="9" xfId="0" applyFont="1" applyFill="1" applyBorder="1" applyAlignment="1">
      <alignment horizontal="center" vertical="center"/>
    </xf>
    <xf numFmtId="0" fontId="1" fillId="22" borderId="22" xfId="0" applyFont="1" applyFill="1" applyBorder="1" applyAlignment="1">
      <alignment horizontal="center" vertical="center"/>
    </xf>
    <xf numFmtId="164" fontId="29" fillId="37" borderId="44" xfId="0" applyNumberFormat="1" applyFont="1" applyFill="1" applyBorder="1" applyAlignment="1">
      <alignment horizontal="center"/>
    </xf>
    <xf numFmtId="164" fontId="29" fillId="38" borderId="9" xfId="0" applyNumberFormat="1" applyFont="1" applyFill="1" applyBorder="1" applyAlignment="1">
      <alignment horizontal="center" vertical="center"/>
    </xf>
    <xf numFmtId="164" fontId="30" fillId="38" borderId="23" xfId="0" applyNumberFormat="1" applyFont="1" applyFill="1" applyBorder="1" applyAlignment="1">
      <alignment horizontal="center"/>
    </xf>
    <xf numFmtId="164" fontId="29" fillId="38" borderId="25" xfId="0" applyNumberFormat="1" applyFont="1" applyFill="1" applyBorder="1" applyAlignment="1">
      <alignment horizontal="center" vertical="center"/>
    </xf>
    <xf numFmtId="164" fontId="30" fillId="38" borderId="9" xfId="0" applyNumberFormat="1" applyFont="1" applyFill="1" applyBorder="1" applyAlignment="1">
      <alignment horizontal="center" vertical="center"/>
    </xf>
    <xf numFmtId="164" fontId="30" fillId="38" borderId="25" xfId="0" applyNumberFormat="1" applyFont="1" applyFill="1" applyBorder="1" applyAlignment="1">
      <alignment horizontal="center" vertical="center"/>
    </xf>
    <xf numFmtId="164" fontId="29" fillId="38" borderId="25" xfId="0" applyNumberFormat="1" applyFont="1" applyFill="1" applyBorder="1" applyAlignment="1">
      <alignment horizontal="center"/>
    </xf>
    <xf numFmtId="164" fontId="29" fillId="38" borderId="9" xfId="0" applyNumberFormat="1" applyFont="1" applyFill="1" applyBorder="1" applyAlignment="1">
      <alignment horizontal="center"/>
    </xf>
    <xf numFmtId="164" fontId="1" fillId="4" borderId="24" xfId="0" applyNumberFormat="1" applyFont="1" applyFill="1" applyBorder="1" applyAlignment="1">
      <alignment horizontal="center"/>
    </xf>
    <xf numFmtId="170" fontId="1" fillId="4" borderId="37" xfId="0" applyNumberFormat="1" applyFont="1" applyFill="1" applyBorder="1" applyAlignment="1">
      <alignment horizontal="center"/>
    </xf>
    <xf numFmtId="164" fontId="1" fillId="4" borderId="22" xfId="0" applyNumberFormat="1" applyFont="1" applyFill="1" applyBorder="1" applyAlignment="1">
      <alignment horizontal="center"/>
    </xf>
    <xf numFmtId="0" fontId="1" fillId="4" borderId="0" xfId="0" applyFont="1" applyFill="1" applyAlignment="1">
      <alignment horizontal="center" vertical="center"/>
    </xf>
    <xf numFmtId="49" fontId="6" fillId="5" borderId="13" xfId="1" applyNumberFormat="1" applyFont="1" applyFill="1" applyBorder="1" applyAlignment="1">
      <alignment horizontal="left" vertical="center"/>
    </xf>
    <xf numFmtId="49" fontId="6" fillId="5" borderId="10" xfId="1" applyNumberFormat="1" applyFont="1" applyFill="1" applyBorder="1" applyAlignment="1">
      <alignment horizontal="left" vertical="center"/>
    </xf>
    <xf numFmtId="49" fontId="6" fillId="5" borderId="23" xfId="1" applyNumberFormat="1" applyFont="1" applyFill="1" applyBorder="1" applyAlignment="1">
      <alignment horizontal="left" vertical="center"/>
    </xf>
    <xf numFmtId="49" fontId="6" fillId="5" borderId="9" xfId="1" applyNumberFormat="1" applyFont="1" applyFill="1" applyBorder="1" applyAlignment="1">
      <alignment horizontal="left" vertical="center"/>
    </xf>
    <xf numFmtId="49" fontId="6" fillId="5" borderId="11" xfId="1" applyNumberFormat="1" applyFont="1" applyFill="1" applyBorder="1" applyAlignment="1">
      <alignment horizontal="left" vertical="center"/>
    </xf>
    <xf numFmtId="0" fontId="1" fillId="22" borderId="24" xfId="0" applyFont="1" applyFill="1" applyBorder="1" applyAlignment="1">
      <alignment horizontal="center" vertical="center"/>
    </xf>
    <xf numFmtId="164" fontId="29" fillId="38" borderId="23" xfId="0" applyNumberFormat="1" applyFont="1" applyFill="1" applyBorder="1" applyAlignment="1">
      <alignment horizontal="center"/>
    </xf>
    <xf numFmtId="0" fontId="1" fillId="24" borderId="25" xfId="21" applyFont="1" applyFill="1" applyBorder="1" applyAlignment="1">
      <alignment horizontal="center" vertical="center"/>
    </xf>
    <xf numFmtId="0" fontId="1" fillId="62" borderId="25" xfId="21" applyFont="1" applyFill="1" applyBorder="1" applyAlignment="1">
      <alignment horizontal="center" vertical="center"/>
    </xf>
    <xf numFmtId="0" fontId="1" fillId="36" borderId="25" xfId="21" applyFont="1" applyFill="1" applyBorder="1" applyAlignment="1">
      <alignment horizontal="center" vertical="center"/>
    </xf>
    <xf numFmtId="0" fontId="1" fillId="63" borderId="25" xfId="21" applyFont="1" applyFill="1" applyBorder="1" applyAlignment="1">
      <alignment horizontal="center" vertical="center"/>
    </xf>
    <xf numFmtId="169" fontId="1" fillId="63" borderId="25" xfId="21" applyNumberFormat="1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29" borderId="25" xfId="0" applyFont="1" applyFill="1" applyBorder="1" applyAlignment="1">
      <alignment horizontal="center" vertical="center"/>
    </xf>
    <xf numFmtId="0" fontId="48" fillId="29" borderId="37" xfId="0" applyFont="1" applyFill="1" applyBorder="1" applyAlignment="1">
      <alignment horizontal="center" vertical="center"/>
    </xf>
    <xf numFmtId="0" fontId="1" fillId="61" borderId="23" xfId="0" applyFont="1" applyFill="1" applyBorder="1" applyAlignment="1">
      <alignment horizontal="center" vertical="center"/>
    </xf>
    <xf numFmtId="2" fontId="1" fillId="61" borderId="9" xfId="0" applyNumberFormat="1" applyFont="1" applyFill="1" applyBorder="1" applyAlignment="1">
      <alignment horizontal="center" vertical="center"/>
    </xf>
    <xf numFmtId="168" fontId="1" fillId="61" borderId="9" xfId="0" applyNumberFormat="1" applyFont="1" applyFill="1" applyBorder="1" applyAlignment="1">
      <alignment horizontal="center" vertical="center"/>
    </xf>
    <xf numFmtId="1" fontId="1" fillId="61" borderId="9" xfId="0" applyNumberFormat="1" applyFont="1" applyFill="1" applyBorder="1" applyAlignment="1">
      <alignment horizontal="center" vertical="center"/>
    </xf>
    <xf numFmtId="169" fontId="1" fillId="61" borderId="9" xfId="0" applyNumberFormat="1" applyFont="1" applyFill="1" applyBorder="1" applyAlignment="1">
      <alignment horizontal="center" vertical="center"/>
    </xf>
    <xf numFmtId="1" fontId="1" fillId="61" borderId="22" xfId="0" applyNumberFormat="1" applyFont="1" applyFill="1" applyBorder="1" applyAlignment="1">
      <alignment horizontal="center" vertical="center"/>
    </xf>
    <xf numFmtId="0" fontId="1" fillId="24" borderId="23" xfId="0" applyFont="1" applyFill="1" applyBorder="1" applyAlignment="1">
      <alignment horizontal="center" vertical="center"/>
    </xf>
    <xf numFmtId="169" fontId="1" fillId="24" borderId="9" xfId="0" applyNumberFormat="1" applyFont="1" applyFill="1" applyBorder="1" applyAlignment="1">
      <alignment horizontal="center" vertical="center"/>
    </xf>
    <xf numFmtId="0" fontId="1" fillId="24" borderId="9" xfId="0" applyFont="1" applyFill="1" applyBorder="1" applyAlignment="1">
      <alignment horizontal="center" vertical="center"/>
    </xf>
    <xf numFmtId="1" fontId="48" fillId="24" borderId="9" xfId="0" applyNumberFormat="1" applyFont="1" applyFill="1" applyBorder="1" applyAlignment="1">
      <alignment horizontal="center" vertical="center"/>
    </xf>
    <xf numFmtId="1" fontId="1" fillId="24" borderId="22" xfId="0" applyNumberFormat="1" applyFont="1" applyFill="1" applyBorder="1" applyAlignment="1">
      <alignment horizontal="center" vertical="center"/>
    </xf>
    <xf numFmtId="0" fontId="49" fillId="61" borderId="25" xfId="0" applyFont="1" applyFill="1" applyBorder="1" applyAlignment="1">
      <alignment horizontal="center" vertical="center" wrapText="1"/>
    </xf>
    <xf numFmtId="0" fontId="1" fillId="61" borderId="25" xfId="0" applyFont="1" applyFill="1" applyBorder="1" applyAlignment="1">
      <alignment horizontal="center" vertical="center"/>
    </xf>
    <xf numFmtId="0" fontId="1" fillId="61" borderId="25" xfId="0" applyFont="1" applyFill="1" applyBorder="1" applyAlignment="1">
      <alignment horizontal="center" vertical="center" wrapText="1"/>
    </xf>
    <xf numFmtId="0" fontId="1" fillId="29" borderId="25" xfId="0" applyFont="1" applyFill="1" applyBorder="1" applyAlignment="1">
      <alignment horizontal="center" vertical="center" wrapText="1"/>
    </xf>
    <xf numFmtId="0" fontId="1" fillId="61" borderId="24" xfId="0" applyFont="1" applyFill="1" applyBorder="1" applyAlignment="1">
      <alignment horizontal="center" vertical="center"/>
    </xf>
    <xf numFmtId="0" fontId="1" fillId="24" borderId="24" xfId="0" applyFont="1" applyFill="1" applyBorder="1" applyAlignment="1">
      <alignment horizontal="center" vertical="center"/>
    </xf>
    <xf numFmtId="0" fontId="48" fillId="29" borderId="37" xfId="0" applyFont="1" applyFill="1" applyBorder="1" applyAlignment="1">
      <alignment horizontal="center" vertical="center" wrapText="1"/>
    </xf>
    <xf numFmtId="0" fontId="1" fillId="65" borderId="23" xfId="62" applyFont="1" applyFill="1" applyBorder="1" applyAlignment="1">
      <alignment horizontal="center" vertical="center"/>
    </xf>
    <xf numFmtId="0" fontId="1" fillId="65" borderId="25" xfId="62" applyFont="1" applyFill="1" applyBorder="1" applyAlignment="1">
      <alignment horizontal="center" vertical="center"/>
    </xf>
    <xf numFmtId="0" fontId="1" fillId="65" borderId="9" xfId="62" applyFont="1" applyFill="1" applyBorder="1" applyAlignment="1">
      <alignment horizontal="center" vertical="center"/>
    </xf>
    <xf numFmtId="0" fontId="1" fillId="65" borderId="24" xfId="62" applyFont="1" applyFill="1" applyBorder="1" applyAlignment="1">
      <alignment horizontal="center" vertical="center"/>
    </xf>
    <xf numFmtId="0" fontId="1" fillId="65" borderId="37" xfId="62" applyFont="1" applyFill="1" applyBorder="1" applyAlignment="1">
      <alignment horizontal="center" vertical="center"/>
    </xf>
    <xf numFmtId="0" fontId="1" fillId="65" borderId="22" xfId="62" applyFont="1" applyFill="1" applyBorder="1" applyAlignment="1">
      <alignment horizontal="center" vertical="center"/>
    </xf>
    <xf numFmtId="0" fontId="1" fillId="0" borderId="0" xfId="27" applyFont="1" applyFill="1" applyAlignment="1">
      <alignment horizontal="center" vertical="center"/>
    </xf>
    <xf numFmtId="0" fontId="1" fillId="64" borderId="23" xfId="62" applyFont="1" applyFill="1" applyBorder="1" applyAlignment="1">
      <alignment horizontal="center" vertical="center"/>
    </xf>
    <xf numFmtId="0" fontId="1" fillId="64" borderId="9" xfId="62" applyFont="1" applyFill="1" applyBorder="1" applyAlignment="1">
      <alignment horizontal="center" vertical="center"/>
    </xf>
    <xf numFmtId="0" fontId="1" fillId="64" borderId="24" xfId="62" applyFont="1" applyFill="1" applyBorder="1" applyAlignment="1">
      <alignment horizontal="center" vertical="center"/>
    </xf>
    <xf numFmtId="0" fontId="1" fillId="64" borderId="22" xfId="62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5" borderId="4" xfId="1" applyFont="1" applyFill="1" applyBorder="1" applyAlignment="1">
      <alignment horizontal="left" vertical="center" shrinkToFit="1"/>
    </xf>
    <xf numFmtId="0" fontId="6" fillId="5" borderId="8" xfId="1" applyFont="1" applyFill="1" applyBorder="1" applyAlignment="1">
      <alignment horizontal="left" vertical="center" shrinkToFit="1"/>
    </xf>
    <xf numFmtId="0" fontId="6" fillId="5" borderId="12" xfId="1" applyFont="1" applyFill="1" applyBorder="1" applyAlignment="1">
      <alignment horizontal="left" vertical="center" shrinkToFit="1"/>
    </xf>
    <xf numFmtId="0" fontId="8" fillId="5" borderId="0" xfId="0" applyFont="1" applyFill="1" applyAlignment="1">
      <alignment horizontal="left" vertical="center"/>
    </xf>
    <xf numFmtId="49" fontId="6" fillId="5" borderId="0" xfId="1" applyNumberFormat="1" applyFont="1" applyFill="1" applyAlignment="1">
      <alignment horizontal="left" vertical="center"/>
    </xf>
    <xf numFmtId="49" fontId="9" fillId="5" borderId="13" xfId="1" applyNumberFormat="1" applyFont="1" applyFill="1" applyBorder="1" applyAlignment="1">
      <alignment horizontal="left" vertical="center"/>
    </xf>
    <xf numFmtId="49" fontId="6" fillId="5" borderId="14" xfId="1" applyNumberFormat="1" applyFont="1" applyFill="1" applyBorder="1" applyAlignment="1">
      <alignment horizontal="left" vertical="center"/>
    </xf>
    <xf numFmtId="0" fontId="6" fillId="5" borderId="0" xfId="1" applyFont="1" applyFill="1" applyAlignment="1">
      <alignment horizontal="left" vertical="center"/>
    </xf>
    <xf numFmtId="1" fontId="9" fillId="5" borderId="0" xfId="1" applyNumberFormat="1" applyFont="1" applyFill="1" applyAlignment="1">
      <alignment horizontal="left" vertical="center"/>
    </xf>
    <xf numFmtId="2" fontId="11" fillId="5" borderId="0" xfId="1" applyNumberFormat="1" applyFont="1" applyFill="1" applyAlignment="1">
      <alignment horizontal="left" vertical="center"/>
    </xf>
    <xf numFmtId="49" fontId="9" fillId="5" borderId="0" xfId="1" applyNumberFormat="1" applyFont="1" applyFill="1" applyAlignment="1">
      <alignment horizontal="left" vertical="center"/>
    </xf>
    <xf numFmtId="49" fontId="6" fillId="5" borderId="16" xfId="1" applyNumberFormat="1" applyFont="1" applyFill="1" applyBorder="1" applyAlignment="1">
      <alignment horizontal="left" vertical="center"/>
    </xf>
    <xf numFmtId="0" fontId="6" fillId="5" borderId="18" xfId="1" applyFont="1" applyFill="1" applyBorder="1" applyAlignment="1">
      <alignment horizontal="left" vertical="center"/>
    </xf>
    <xf numFmtId="49" fontId="6" fillId="5" borderId="18" xfId="1" applyNumberFormat="1" applyFont="1" applyFill="1" applyBorder="1" applyAlignment="1">
      <alignment horizontal="left" vertical="center"/>
    </xf>
    <xf numFmtId="49" fontId="6" fillId="5" borderId="19" xfId="1" applyNumberFormat="1" applyFont="1" applyFill="1" applyBorder="1" applyAlignment="1">
      <alignment horizontal="left" vertical="center"/>
    </xf>
    <xf numFmtId="0" fontId="6" fillId="5" borderId="20" xfId="1" applyFont="1" applyFill="1" applyBorder="1" applyAlignment="1">
      <alignment horizontal="left" vertical="center"/>
    </xf>
    <xf numFmtId="0" fontId="9" fillId="5" borderId="0" xfId="0" applyFont="1" applyFill="1" applyAlignment="1">
      <alignment horizontal="left" vertical="center"/>
    </xf>
    <xf numFmtId="0" fontId="9" fillId="5" borderId="0" xfId="1" applyFont="1" applyFill="1" applyAlignment="1">
      <alignment horizontal="left" vertical="center"/>
    </xf>
    <xf numFmtId="0" fontId="6" fillId="5" borderId="16" xfId="1" applyFont="1" applyFill="1" applyBorder="1" applyAlignment="1">
      <alignment horizontal="left" vertical="center"/>
    </xf>
    <xf numFmtId="0" fontId="6" fillId="5" borderId="21" xfId="1" applyFont="1" applyFill="1" applyBorder="1" applyAlignment="1">
      <alignment horizontal="left" vertical="center"/>
    </xf>
    <xf numFmtId="0" fontId="6" fillId="5" borderId="18" xfId="0" applyFont="1" applyFill="1" applyBorder="1" applyAlignment="1">
      <alignment horizontal="left" vertical="center"/>
    </xf>
    <xf numFmtId="2" fontId="6" fillId="5" borderId="18" xfId="1" applyNumberFormat="1" applyFont="1" applyFill="1" applyBorder="1" applyAlignment="1">
      <alignment horizontal="left" vertical="center"/>
    </xf>
    <xf numFmtId="1" fontId="6" fillId="5" borderId="18" xfId="1" applyNumberFormat="1" applyFont="1" applyFill="1" applyBorder="1" applyAlignment="1">
      <alignment horizontal="left" vertical="center"/>
    </xf>
    <xf numFmtId="0" fontId="7" fillId="5" borderId="9" xfId="1" applyFont="1" applyFill="1" applyBorder="1" applyAlignment="1">
      <alignment horizontal="left" vertical="center"/>
    </xf>
    <xf numFmtId="0" fontId="7" fillId="5" borderId="10" xfId="1" applyFont="1" applyFill="1" applyBorder="1" applyAlignment="1">
      <alignment horizontal="left" vertical="center"/>
    </xf>
    <xf numFmtId="0" fontId="7" fillId="5" borderId="0" xfId="1" applyFont="1" applyFill="1" applyAlignment="1">
      <alignment horizontal="left" vertical="center"/>
    </xf>
    <xf numFmtId="0" fontId="6" fillId="5" borderId="13" xfId="1" applyFont="1" applyFill="1" applyBorder="1" applyAlignment="1">
      <alignment horizontal="left" vertical="center"/>
    </xf>
    <xf numFmtId="0" fontId="6" fillId="5" borderId="14" xfId="1" applyFont="1" applyFill="1" applyBorder="1" applyAlignment="1">
      <alignment horizontal="left" vertical="center"/>
    </xf>
    <xf numFmtId="0" fontId="6" fillId="5" borderId="10" xfId="0" applyFont="1" applyFill="1" applyBorder="1" applyAlignment="1">
      <alignment horizontal="left" vertical="center"/>
    </xf>
    <xf numFmtId="0" fontId="6" fillId="5" borderId="10" xfId="1" applyFont="1" applyFill="1" applyBorder="1" applyAlignment="1">
      <alignment horizontal="left" vertical="center"/>
    </xf>
    <xf numFmtId="0" fontId="7" fillId="5" borderId="11" xfId="1" applyFont="1" applyFill="1" applyBorder="1" applyAlignment="1">
      <alignment horizontal="left" vertical="center"/>
    </xf>
    <xf numFmtId="0" fontId="6" fillId="5" borderId="0" xfId="0" applyFont="1" applyFill="1" applyAlignment="1">
      <alignment horizontal="left" vertical="center"/>
    </xf>
    <xf numFmtId="0" fontId="6" fillId="5" borderId="22" xfId="1" applyFont="1" applyFill="1" applyBorder="1" applyAlignment="1">
      <alignment horizontal="left" vertical="center"/>
    </xf>
    <xf numFmtId="0" fontId="6" fillId="5" borderId="11" xfId="1" applyFont="1" applyFill="1" applyBorder="1" applyAlignment="1">
      <alignment horizontal="left" vertical="center"/>
    </xf>
    <xf numFmtId="0" fontId="12" fillId="5" borderId="9" xfId="0" applyFont="1" applyFill="1" applyBorder="1" applyAlignment="1">
      <alignment horizontal="left" vertical="center"/>
    </xf>
    <xf numFmtId="0" fontId="6" fillId="5" borderId="23" xfId="0" applyFont="1" applyFill="1" applyBorder="1" applyAlignment="1">
      <alignment horizontal="left" vertical="center"/>
    </xf>
    <xf numFmtId="2" fontId="11" fillId="5" borderId="13" xfId="1" applyNumberFormat="1" applyFont="1" applyFill="1" applyBorder="1" applyAlignment="1">
      <alignment horizontal="left" vertical="center"/>
    </xf>
    <xf numFmtId="2" fontId="7" fillId="5" borderId="10" xfId="1" applyNumberFormat="1" applyFont="1" applyFill="1" applyBorder="1" applyAlignment="1">
      <alignment horizontal="left" vertical="center"/>
    </xf>
    <xf numFmtId="2" fontId="11" fillId="5" borderId="10" xfId="1" applyNumberFormat="1" applyFont="1" applyFill="1" applyBorder="1" applyAlignment="1">
      <alignment horizontal="left" vertical="center"/>
    </xf>
    <xf numFmtId="0" fontId="11" fillId="5" borderId="10" xfId="1" applyFont="1" applyFill="1" applyBorder="1" applyAlignment="1">
      <alignment horizontal="left" vertical="center"/>
    </xf>
    <xf numFmtId="0" fontId="11" fillId="5" borderId="11" xfId="1" applyFont="1" applyFill="1" applyBorder="1" applyAlignment="1">
      <alignment horizontal="left" vertical="center"/>
    </xf>
    <xf numFmtId="0" fontId="12" fillId="5" borderId="0" xfId="0" applyFont="1" applyFill="1" applyAlignment="1">
      <alignment horizontal="left" vertical="center"/>
    </xf>
    <xf numFmtId="0" fontId="6" fillId="5" borderId="24" xfId="0" applyFont="1" applyFill="1" applyBorder="1" applyAlignment="1">
      <alignment horizontal="left" vertical="center"/>
    </xf>
    <xf numFmtId="164" fontId="9" fillId="5" borderId="10" xfId="0" applyNumberFormat="1" applyFont="1" applyFill="1" applyBorder="1" applyAlignment="1">
      <alignment horizontal="left" vertical="center"/>
    </xf>
    <xf numFmtId="2" fontId="9" fillId="5" borderId="10" xfId="1" applyNumberFormat="1" applyFont="1" applyFill="1" applyBorder="1" applyAlignment="1">
      <alignment horizontal="left" vertical="center"/>
    </xf>
    <xf numFmtId="49" fontId="9" fillId="5" borderId="10" xfId="1" applyNumberFormat="1" applyFont="1" applyFill="1" applyBorder="1" applyAlignment="1">
      <alignment horizontal="left" vertical="center"/>
    </xf>
    <xf numFmtId="0" fontId="9" fillId="5" borderId="10" xfId="0" applyFont="1" applyFill="1" applyBorder="1" applyAlignment="1">
      <alignment horizontal="left" vertical="center"/>
    </xf>
    <xf numFmtId="0" fontId="9" fillId="5" borderId="10" xfId="1" applyFont="1" applyFill="1" applyBorder="1" applyAlignment="1">
      <alignment horizontal="left" vertical="center"/>
    </xf>
    <xf numFmtId="0" fontId="9" fillId="5" borderId="14" xfId="1" applyFont="1" applyFill="1" applyBorder="1" applyAlignment="1">
      <alignment horizontal="left" vertical="center"/>
    </xf>
    <xf numFmtId="49" fontId="9" fillId="5" borderId="18" xfId="1" applyNumberFormat="1" applyFont="1" applyFill="1" applyBorder="1" applyAlignment="1">
      <alignment horizontal="left" vertical="center"/>
    </xf>
    <xf numFmtId="49" fontId="6" fillId="5" borderId="21" xfId="1" applyNumberFormat="1" applyFont="1" applyFill="1" applyBorder="1" applyAlignment="1">
      <alignment horizontal="left" vertical="center"/>
    </xf>
    <xf numFmtId="0" fontId="6" fillId="5" borderId="9" xfId="1" applyFont="1" applyFill="1" applyBorder="1" applyAlignment="1">
      <alignment horizontal="left" vertical="center"/>
    </xf>
    <xf numFmtId="49" fontId="9" fillId="5" borderId="14" xfId="1" applyNumberFormat="1" applyFont="1" applyFill="1" applyBorder="1" applyAlignment="1">
      <alignment horizontal="left" vertical="center"/>
    </xf>
    <xf numFmtId="0" fontId="9" fillId="5" borderId="9" xfId="1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 readingOrder="1"/>
    </xf>
    <xf numFmtId="0" fontId="9" fillId="5" borderId="11" xfId="1" applyFont="1" applyFill="1" applyBorder="1" applyAlignment="1">
      <alignment horizontal="left" vertical="center"/>
    </xf>
    <xf numFmtId="165" fontId="9" fillId="5" borderId="9" xfId="1" applyNumberFormat="1" applyFont="1" applyFill="1" applyBorder="1" applyAlignment="1">
      <alignment horizontal="left" vertical="center"/>
    </xf>
    <xf numFmtId="165" fontId="9" fillId="5" borderId="10" xfId="1" applyNumberFormat="1" applyFont="1" applyFill="1" applyBorder="1" applyAlignment="1">
      <alignment horizontal="left" vertical="center"/>
    </xf>
    <xf numFmtId="165" fontId="9" fillId="5" borderId="11" xfId="1" applyNumberFormat="1" applyFont="1" applyFill="1" applyBorder="1" applyAlignment="1">
      <alignment horizontal="left" vertical="center"/>
    </xf>
    <xf numFmtId="49" fontId="9" fillId="5" borderId="9" xfId="1" applyNumberFormat="1" applyFont="1" applyFill="1" applyBorder="1" applyAlignment="1">
      <alignment horizontal="left" vertical="center"/>
    </xf>
    <xf numFmtId="2" fontId="9" fillId="5" borderId="9" xfId="1" applyNumberFormat="1" applyFont="1" applyFill="1" applyBorder="1" applyAlignment="1">
      <alignment horizontal="left" vertical="center"/>
    </xf>
    <xf numFmtId="2" fontId="9" fillId="5" borderId="11" xfId="1" applyNumberFormat="1" applyFont="1" applyFill="1" applyBorder="1" applyAlignment="1">
      <alignment horizontal="left" vertical="center"/>
    </xf>
    <xf numFmtId="166" fontId="6" fillId="5" borderId="9" xfId="1" applyNumberFormat="1" applyFont="1" applyFill="1" applyBorder="1" applyAlignment="1">
      <alignment horizontal="left" vertical="center"/>
    </xf>
    <xf numFmtId="167" fontId="9" fillId="5" borderId="10" xfId="1" applyNumberFormat="1" applyFont="1" applyFill="1" applyBorder="1" applyAlignment="1">
      <alignment horizontal="left" vertical="center"/>
    </xf>
    <xf numFmtId="166" fontId="6" fillId="5" borderId="10" xfId="1" applyNumberFormat="1" applyFont="1" applyFill="1" applyBorder="1" applyAlignment="1">
      <alignment horizontal="left" vertical="center"/>
    </xf>
    <xf numFmtId="168" fontId="6" fillId="5" borderId="10" xfId="1" applyNumberFormat="1" applyFont="1" applyFill="1" applyBorder="1" applyAlignment="1">
      <alignment horizontal="left" vertical="center"/>
    </xf>
    <xf numFmtId="168" fontId="6" fillId="5" borderId="11" xfId="1" applyNumberFormat="1" applyFont="1" applyFill="1" applyBorder="1" applyAlignment="1">
      <alignment horizontal="left" vertical="center"/>
    </xf>
    <xf numFmtId="2" fontId="6" fillId="5" borderId="10" xfId="1" applyNumberFormat="1" applyFont="1" applyFill="1" applyBorder="1" applyAlignment="1">
      <alignment horizontal="left" vertical="center"/>
    </xf>
    <xf numFmtId="49" fontId="6" fillId="5" borderId="22" xfId="1" applyNumberFormat="1" applyFont="1" applyFill="1" applyBorder="1" applyAlignment="1">
      <alignment horizontal="left" vertical="center"/>
    </xf>
    <xf numFmtId="49" fontId="6" fillId="5" borderId="20" xfId="1" applyNumberFormat="1" applyFont="1" applyFill="1" applyBorder="1" applyAlignment="1">
      <alignment horizontal="left" vertical="center"/>
    </xf>
    <xf numFmtId="2" fontId="9" fillId="5" borderId="0" xfId="1" applyNumberFormat="1" applyFont="1" applyFill="1" applyAlignment="1">
      <alignment horizontal="left" vertical="center"/>
    </xf>
    <xf numFmtId="2" fontId="6" fillId="5" borderId="0" xfId="1" applyNumberFormat="1" applyFont="1" applyFill="1" applyAlignment="1">
      <alignment horizontal="left" vertical="center"/>
    </xf>
    <xf numFmtId="49" fontId="6" fillId="5" borderId="25" xfId="1" applyNumberFormat="1" applyFont="1" applyFill="1" applyBorder="1" applyAlignment="1">
      <alignment horizontal="left" vertical="center"/>
    </xf>
    <xf numFmtId="0" fontId="6" fillId="5" borderId="9" xfId="0" applyFont="1" applyFill="1" applyBorder="1" applyAlignment="1">
      <alignment horizontal="left" vertical="center"/>
    </xf>
    <xf numFmtId="165" fontId="6" fillId="5" borderId="10" xfId="1" applyNumberFormat="1" applyFont="1" applyFill="1" applyBorder="1" applyAlignment="1">
      <alignment horizontal="left" vertical="center"/>
    </xf>
    <xf numFmtId="0" fontId="9" fillId="5" borderId="18" xfId="1" applyFont="1" applyFill="1" applyBorder="1" applyAlignment="1">
      <alignment horizontal="left" vertical="center"/>
    </xf>
    <xf numFmtId="0" fontId="6" fillId="5" borderId="26" xfId="0" applyFont="1" applyFill="1" applyBorder="1" applyAlignment="1">
      <alignment horizontal="left" vertical="center"/>
    </xf>
    <xf numFmtId="2" fontId="6" fillId="5" borderId="22" xfId="1" applyNumberFormat="1" applyFont="1" applyFill="1" applyBorder="1" applyAlignment="1">
      <alignment horizontal="left" vertical="center"/>
    </xf>
    <xf numFmtId="0" fontId="6" fillId="5" borderId="23" xfId="1" applyFont="1" applyFill="1" applyBorder="1" applyAlignment="1">
      <alignment horizontal="left" vertical="center"/>
    </xf>
    <xf numFmtId="2" fontId="6" fillId="5" borderId="9" xfId="1" applyNumberFormat="1" applyFont="1" applyFill="1" applyBorder="1" applyAlignment="1">
      <alignment horizontal="left" vertical="center"/>
    </xf>
    <xf numFmtId="1" fontId="9" fillId="5" borderId="10" xfId="1" applyNumberFormat="1" applyFont="1" applyFill="1" applyBorder="1" applyAlignment="1">
      <alignment horizontal="left" vertical="center"/>
    </xf>
    <xf numFmtId="0" fontId="6" fillId="5" borderId="25" xfId="0" applyFont="1" applyFill="1" applyBorder="1" applyAlignment="1">
      <alignment horizontal="left" vertical="center"/>
    </xf>
    <xf numFmtId="167" fontId="6" fillId="5" borderId="21" xfId="1" applyNumberFormat="1" applyFont="1" applyFill="1" applyBorder="1" applyAlignment="1">
      <alignment horizontal="left" vertical="center"/>
    </xf>
    <xf numFmtId="49" fontId="9" fillId="5" borderId="23" xfId="1" applyNumberFormat="1" applyFont="1" applyFill="1" applyBorder="1" applyAlignment="1">
      <alignment horizontal="left" vertical="center"/>
    </xf>
    <xf numFmtId="49" fontId="6" fillId="5" borderId="24" xfId="1" applyNumberFormat="1" applyFont="1" applyFill="1" applyBorder="1" applyAlignment="1">
      <alignment horizontal="left" vertical="center"/>
    </xf>
    <xf numFmtId="2" fontId="6" fillId="5" borderId="24" xfId="1" applyNumberFormat="1" applyFont="1" applyFill="1" applyBorder="1" applyAlignment="1">
      <alignment horizontal="left" vertical="center"/>
    </xf>
    <xf numFmtId="0" fontId="9" fillId="5" borderId="21" xfId="1" applyFont="1" applyFill="1" applyBorder="1" applyAlignment="1">
      <alignment horizontal="left" vertical="center"/>
    </xf>
    <xf numFmtId="2" fontId="9" fillId="5" borderId="21" xfId="1" applyNumberFormat="1" applyFont="1" applyFill="1" applyBorder="1" applyAlignment="1">
      <alignment horizontal="left" vertical="center"/>
    </xf>
    <xf numFmtId="2" fontId="6" fillId="5" borderId="27" xfId="1" applyNumberFormat="1" applyFont="1" applyFill="1" applyBorder="1" applyAlignment="1">
      <alignment horizontal="left" vertical="center"/>
    </xf>
    <xf numFmtId="49" fontId="6" fillId="5" borderId="27" xfId="1" applyNumberFormat="1" applyFont="1" applyFill="1" applyBorder="1" applyAlignment="1">
      <alignment horizontal="left" vertical="center"/>
    </xf>
    <xf numFmtId="2" fontId="9" fillId="5" borderId="18" xfId="1" applyNumberFormat="1" applyFont="1" applyFill="1" applyBorder="1" applyAlignment="1">
      <alignment horizontal="left" vertical="center"/>
    </xf>
    <xf numFmtId="2" fontId="9" fillId="5" borderId="27" xfId="1" applyNumberFormat="1" applyFont="1" applyFill="1" applyBorder="1" applyAlignment="1">
      <alignment horizontal="left" vertical="center"/>
    </xf>
    <xf numFmtId="49" fontId="9" fillId="5" borderId="19" xfId="1" applyNumberFormat="1" applyFont="1" applyFill="1" applyBorder="1" applyAlignment="1">
      <alignment horizontal="left" vertical="center"/>
    </xf>
    <xf numFmtId="0" fontId="6" fillId="5" borderId="13" xfId="0" applyFont="1" applyFill="1" applyBorder="1" applyAlignment="1">
      <alignment horizontal="left" vertical="center"/>
    </xf>
    <xf numFmtId="2" fontId="9" fillId="5" borderId="23" xfId="1" applyNumberFormat="1" applyFont="1" applyFill="1" applyBorder="1" applyAlignment="1">
      <alignment horizontal="left" vertical="center"/>
    </xf>
    <xf numFmtId="49" fontId="6" fillId="5" borderId="28" xfId="1" applyNumberFormat="1" applyFont="1" applyFill="1" applyBorder="1" applyAlignment="1">
      <alignment horizontal="left" vertical="center"/>
    </xf>
    <xf numFmtId="164" fontId="9" fillId="5" borderId="11" xfId="1" applyNumberFormat="1" applyFont="1" applyFill="1" applyBorder="1" applyAlignment="1">
      <alignment horizontal="left" vertical="center"/>
    </xf>
    <xf numFmtId="49" fontId="14" fillId="5" borderId="0" xfId="2" applyNumberFormat="1" applyFont="1" applyFill="1" applyBorder="1" applyAlignment="1" applyProtection="1">
      <alignment horizontal="left" vertical="center"/>
    </xf>
    <xf numFmtId="0" fontId="15" fillId="5" borderId="0" xfId="0" applyFont="1" applyFill="1" applyAlignment="1">
      <alignment horizontal="left" vertical="center"/>
    </xf>
    <xf numFmtId="0" fontId="16" fillId="5" borderId="10" xfId="0" applyFont="1" applyFill="1" applyBorder="1" applyAlignment="1">
      <alignment horizontal="left" vertical="center"/>
    </xf>
    <xf numFmtId="0" fontId="15" fillId="5" borderId="24" xfId="0" applyFont="1" applyFill="1" applyBorder="1" applyAlignment="1">
      <alignment horizontal="left" vertical="center"/>
    </xf>
    <xf numFmtId="0" fontId="9" fillId="5" borderId="18" xfId="0" applyFont="1" applyFill="1" applyBorder="1" applyAlignment="1">
      <alignment horizontal="left" vertical="center"/>
    </xf>
    <xf numFmtId="3" fontId="11" fillId="5" borderId="10" xfId="1" applyNumberFormat="1" applyFont="1" applyFill="1" applyBorder="1" applyAlignment="1">
      <alignment horizontal="left" vertical="center"/>
    </xf>
    <xf numFmtId="3" fontId="7" fillId="5" borderId="10" xfId="1" applyNumberFormat="1" applyFont="1" applyFill="1" applyBorder="1" applyAlignment="1">
      <alignment horizontal="left" vertical="center"/>
    </xf>
    <xf numFmtId="3" fontId="7" fillId="5" borderId="11" xfId="1" applyNumberFormat="1" applyFont="1" applyFill="1" applyBorder="1" applyAlignment="1">
      <alignment horizontal="left" vertical="center"/>
    </xf>
    <xf numFmtId="0" fontId="6" fillId="5" borderId="29" xfId="1" applyFont="1" applyFill="1" applyBorder="1" applyAlignment="1">
      <alignment horizontal="left" vertical="center" shrinkToFit="1"/>
    </xf>
    <xf numFmtId="0" fontId="6" fillId="5" borderId="30" xfId="1" applyFont="1" applyFill="1" applyBorder="1" applyAlignment="1">
      <alignment horizontal="left" vertical="center"/>
    </xf>
    <xf numFmtId="0" fontId="6" fillId="5" borderId="31" xfId="1" applyFont="1" applyFill="1" applyBorder="1" applyAlignment="1">
      <alignment horizontal="left" vertical="center"/>
    </xf>
    <xf numFmtId="0" fontId="1" fillId="67" borderId="0" xfId="0" applyFont="1" applyFill="1" applyAlignment="1">
      <alignment horizontal="center" vertical="center"/>
    </xf>
    <xf numFmtId="169" fontId="1" fillId="67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" fillId="22" borderId="0" xfId="0" applyFont="1" applyFill="1" applyAlignment="1">
      <alignment horizontal="center" vertical="center"/>
    </xf>
    <xf numFmtId="0" fontId="1" fillId="36" borderId="3" xfId="0" applyFont="1" applyFill="1" applyBorder="1" applyAlignment="1">
      <alignment horizontal="center" vertical="center"/>
    </xf>
    <xf numFmtId="0" fontId="1" fillId="22" borderId="27" xfId="0" applyFont="1" applyFill="1" applyBorder="1" applyAlignment="1">
      <alignment horizontal="center" vertical="center"/>
    </xf>
    <xf numFmtId="0" fontId="1" fillId="22" borderId="21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2" fillId="29" borderId="27" xfId="3" applyFont="1" applyFill="1" applyBorder="1" applyAlignment="1">
      <alignment horizontal="center" vertical="center"/>
    </xf>
    <xf numFmtId="0" fontId="22" fillId="29" borderId="21" xfId="3" applyFont="1" applyFill="1" applyBorder="1" applyAlignment="1">
      <alignment horizontal="center" vertical="center"/>
    </xf>
    <xf numFmtId="0" fontId="22" fillId="29" borderId="23" xfId="3" applyFont="1" applyFill="1" applyBorder="1" applyAlignment="1">
      <alignment horizontal="center" vertical="center"/>
    </xf>
    <xf numFmtId="0" fontId="22" fillId="29" borderId="9" xfId="3" applyFont="1" applyFill="1" applyBorder="1" applyAlignment="1">
      <alignment horizontal="center" vertical="center"/>
    </xf>
    <xf numFmtId="0" fontId="1" fillId="29" borderId="0" xfId="0" applyFont="1" applyFill="1" applyAlignment="1">
      <alignment horizontal="center" vertical="center"/>
    </xf>
    <xf numFmtId="164" fontId="1" fillId="61" borderId="27" xfId="0" applyNumberFormat="1" applyFont="1" applyFill="1" applyBorder="1" applyAlignment="1">
      <alignment horizontal="center" vertical="center"/>
    </xf>
    <xf numFmtId="164" fontId="1" fillId="61" borderId="21" xfId="0" applyNumberFormat="1" applyFont="1" applyFill="1" applyBorder="1" applyAlignment="1">
      <alignment horizontal="center" vertical="center"/>
    </xf>
    <xf numFmtId="164" fontId="29" fillId="38" borderId="0" xfId="0" applyNumberFormat="1" applyFont="1" applyFill="1" applyAlignment="1">
      <alignment horizontal="center" vertical="center"/>
    </xf>
    <xf numFmtId="164" fontId="29" fillId="38" borderId="39" xfId="0" applyNumberFormat="1" applyFont="1" applyFill="1" applyBorder="1" applyAlignment="1">
      <alignment horizontal="center" vertical="center"/>
    </xf>
    <xf numFmtId="164" fontId="29" fillId="43" borderId="39" xfId="0" applyNumberFormat="1" applyFont="1" applyFill="1" applyBorder="1" applyAlignment="1">
      <alignment horizontal="center" vertical="center"/>
    </xf>
    <xf numFmtId="164" fontId="29" fillId="37" borderId="27" xfId="0" applyNumberFormat="1" applyFont="1" applyFill="1" applyBorder="1" applyAlignment="1">
      <alignment horizontal="center" vertical="center"/>
    </xf>
    <xf numFmtId="164" fontId="29" fillId="37" borderId="26" xfId="0" applyNumberFormat="1" applyFont="1" applyFill="1" applyBorder="1" applyAlignment="1">
      <alignment horizontal="center" vertical="center"/>
    </xf>
    <xf numFmtId="164" fontId="29" fillId="37" borderId="21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9" fillId="42" borderId="39" xfId="0" applyNumberFormat="1" applyFont="1" applyFill="1" applyBorder="1" applyAlignment="1">
      <alignment horizontal="center" vertical="center"/>
    </xf>
    <xf numFmtId="164" fontId="29" fillId="44" borderId="51" xfId="0" applyNumberFormat="1" applyFont="1" applyFill="1" applyBorder="1" applyAlignment="1">
      <alignment horizontal="center" vertical="center"/>
    </xf>
    <xf numFmtId="0" fontId="1" fillId="31" borderId="18" xfId="0" applyFont="1" applyFill="1" applyBorder="1" applyAlignment="1">
      <alignment horizontal="center" vertical="center"/>
    </xf>
    <xf numFmtId="0" fontId="1" fillId="62" borderId="25" xfId="21" applyFont="1" applyFill="1" applyBorder="1" applyAlignment="1">
      <alignment horizontal="center" vertical="center"/>
    </xf>
    <xf numFmtId="0" fontId="1" fillId="24" borderId="25" xfId="21" applyFont="1" applyFill="1" applyBorder="1" applyAlignment="1">
      <alignment horizontal="center" vertical="center"/>
    </xf>
    <xf numFmtId="0" fontId="1" fillId="67" borderId="0" xfId="0" applyFont="1" applyFill="1" applyAlignment="1">
      <alignment horizontal="center" vertical="center"/>
    </xf>
    <xf numFmtId="0" fontId="48" fillId="31" borderId="17" xfId="0" applyFont="1" applyFill="1" applyBorder="1" applyAlignment="1">
      <alignment horizontal="center" vertical="center" wrapText="1"/>
    </xf>
    <xf numFmtId="0" fontId="48" fillId="31" borderId="26" xfId="0" applyFont="1" applyFill="1" applyBorder="1" applyAlignment="1">
      <alignment horizontal="center" vertical="center" wrapText="1"/>
    </xf>
    <xf numFmtId="0" fontId="48" fillId="31" borderId="52" xfId="0" applyFont="1" applyFill="1" applyBorder="1" applyAlignment="1">
      <alignment horizontal="center" vertical="center" wrapText="1"/>
    </xf>
    <xf numFmtId="0" fontId="1" fillId="27" borderId="27" xfId="0" applyFont="1" applyFill="1" applyBorder="1" applyAlignment="1">
      <alignment horizontal="center" vertical="center"/>
    </xf>
    <xf numFmtId="0" fontId="1" fillId="27" borderId="21" xfId="0" applyFont="1" applyFill="1" applyBorder="1" applyAlignment="1">
      <alignment horizontal="center" vertical="center"/>
    </xf>
    <xf numFmtId="0" fontId="1" fillId="66" borderId="27" xfId="62" applyFont="1" applyFill="1" applyBorder="1" applyAlignment="1">
      <alignment horizontal="center" vertical="center"/>
    </xf>
    <xf numFmtId="0" fontId="1" fillId="66" borderId="21" xfId="62" applyFont="1" applyFill="1" applyBorder="1" applyAlignment="1">
      <alignment horizontal="center" vertical="center"/>
    </xf>
    <xf numFmtId="0" fontId="1" fillId="33" borderId="27" xfId="0" applyFont="1" applyFill="1" applyBorder="1" applyAlignment="1">
      <alignment horizontal="center" vertical="center"/>
    </xf>
    <xf numFmtId="0" fontId="1" fillId="33" borderId="21" xfId="0" applyFont="1" applyFill="1" applyBorder="1" applyAlignment="1">
      <alignment horizontal="center" vertical="center"/>
    </xf>
    <xf numFmtId="0" fontId="1" fillId="64" borderId="27" xfId="62" applyFont="1" applyFill="1" applyBorder="1" applyAlignment="1">
      <alignment horizontal="center" vertical="center"/>
    </xf>
    <xf numFmtId="0" fontId="1" fillId="64" borderId="26" xfId="62" applyFont="1" applyFill="1" applyBorder="1" applyAlignment="1">
      <alignment horizontal="center" vertical="center"/>
    </xf>
    <xf numFmtId="0" fontId="1" fillId="64" borderId="21" xfId="62" applyFont="1" applyFill="1" applyBorder="1" applyAlignment="1">
      <alignment horizontal="center" vertical="center"/>
    </xf>
    <xf numFmtId="49" fontId="6" fillId="5" borderId="22" xfId="1" applyNumberFormat="1" applyFont="1" applyFill="1" applyBorder="1" applyAlignment="1">
      <alignment horizontal="left" vertical="center"/>
    </xf>
    <xf numFmtId="49" fontId="6" fillId="5" borderId="13" xfId="1" applyNumberFormat="1" applyFont="1" applyFill="1" applyBorder="1" applyAlignment="1">
      <alignment horizontal="left" vertical="center"/>
    </xf>
    <xf numFmtId="49" fontId="6" fillId="5" borderId="10" xfId="1" applyNumberFormat="1" applyFont="1" applyFill="1" applyBorder="1" applyAlignment="1">
      <alignment horizontal="left" vertical="center"/>
    </xf>
    <xf numFmtId="49" fontId="7" fillId="5" borderId="9" xfId="1" applyNumberFormat="1" applyFont="1" applyFill="1" applyBorder="1" applyAlignment="1">
      <alignment horizontal="left" vertical="center"/>
    </xf>
    <xf numFmtId="49" fontId="7" fillId="5" borderId="10" xfId="1" applyNumberFormat="1" applyFont="1" applyFill="1" applyBorder="1" applyAlignment="1">
      <alignment horizontal="left" vertical="center"/>
    </xf>
    <xf numFmtId="49" fontId="7" fillId="5" borderId="23" xfId="1" applyNumberFormat="1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49" fontId="6" fillId="5" borderId="9" xfId="1" applyNumberFormat="1" applyFont="1" applyFill="1" applyBorder="1" applyAlignment="1">
      <alignment horizontal="left" vertical="center"/>
    </xf>
    <xf numFmtId="49" fontId="6" fillId="5" borderId="23" xfId="1" applyNumberFormat="1" applyFont="1" applyFill="1" applyBorder="1" applyAlignment="1">
      <alignment horizontal="left" vertical="center"/>
    </xf>
    <xf numFmtId="0" fontId="12" fillId="5" borderId="21" xfId="0" applyFont="1" applyFill="1" applyBorder="1" applyAlignment="1">
      <alignment horizontal="left" vertical="center"/>
    </xf>
    <xf numFmtId="0" fontId="12" fillId="5" borderId="18" xfId="0" applyFont="1" applyFill="1" applyBorder="1" applyAlignment="1">
      <alignment horizontal="left" vertical="center"/>
    </xf>
    <xf numFmtId="0" fontId="6" fillId="5" borderId="12" xfId="1" applyFont="1" applyFill="1" applyBorder="1" applyAlignment="1">
      <alignment horizontal="left" vertical="center" shrinkToFit="1"/>
    </xf>
    <xf numFmtId="0" fontId="6" fillId="5" borderId="17" xfId="1" applyFont="1" applyFill="1" applyBorder="1" applyAlignment="1">
      <alignment horizontal="left" vertical="center" shrinkToFit="1"/>
    </xf>
    <xf numFmtId="49" fontId="6" fillId="5" borderId="24" xfId="1" applyNumberFormat="1" applyFont="1" applyFill="1" applyBorder="1" applyAlignment="1">
      <alignment horizontal="left" vertical="center"/>
    </xf>
    <xf numFmtId="0" fontId="12" fillId="5" borderId="9" xfId="0" applyFont="1" applyFill="1" applyBorder="1" applyAlignment="1">
      <alignment horizontal="left" vertical="center"/>
    </xf>
    <xf numFmtId="0" fontId="12" fillId="5" borderId="10" xfId="0" applyFont="1" applyFill="1" applyBorder="1" applyAlignment="1">
      <alignment horizontal="left" vertical="center"/>
    </xf>
    <xf numFmtId="49" fontId="6" fillId="5" borderId="14" xfId="1" applyNumberFormat="1" applyFont="1" applyFill="1" applyBorder="1" applyAlignment="1">
      <alignment horizontal="left" vertical="center"/>
    </xf>
    <xf numFmtId="49" fontId="6" fillId="5" borderId="0" xfId="1" applyNumberFormat="1" applyFont="1" applyFill="1" applyAlignment="1">
      <alignment horizontal="left" vertical="center"/>
    </xf>
    <xf numFmtId="49" fontId="6" fillId="5" borderId="16" xfId="1" applyNumberFormat="1" applyFont="1" applyFill="1" applyBorder="1" applyAlignment="1">
      <alignment horizontal="left" vertical="center"/>
    </xf>
    <xf numFmtId="49" fontId="6" fillId="5" borderId="18" xfId="1" applyNumberFormat="1" applyFont="1" applyFill="1" applyBorder="1" applyAlignment="1">
      <alignment horizontal="left" vertical="center"/>
    </xf>
    <xf numFmtId="49" fontId="6" fillId="5" borderId="19" xfId="1" applyNumberFormat="1" applyFont="1" applyFill="1" applyBorder="1" applyAlignment="1">
      <alignment horizontal="left" vertical="center"/>
    </xf>
    <xf numFmtId="49" fontId="6" fillId="5" borderId="5" xfId="1" applyNumberFormat="1" applyFont="1" applyFill="1" applyBorder="1" applyAlignment="1">
      <alignment horizontal="left" vertical="center"/>
    </xf>
    <xf numFmtId="49" fontId="6" fillId="5" borderId="6" xfId="1" applyNumberFormat="1" applyFont="1" applyFill="1" applyBorder="1" applyAlignment="1">
      <alignment horizontal="left" vertical="center"/>
    </xf>
    <xf numFmtId="49" fontId="6" fillId="5" borderId="7" xfId="1" applyNumberFormat="1" applyFont="1" applyFill="1" applyBorder="1" applyAlignment="1">
      <alignment horizontal="left" vertical="center"/>
    </xf>
    <xf numFmtId="49" fontId="6" fillId="5" borderId="11" xfId="1" applyNumberFormat="1" applyFont="1" applyFill="1" applyBorder="1" applyAlignment="1">
      <alignment horizontal="left" vertical="center"/>
    </xf>
    <xf numFmtId="0" fontId="6" fillId="5" borderId="15" xfId="1" applyFont="1" applyFill="1" applyBorder="1" applyAlignment="1">
      <alignment horizontal="left" vertical="center" shrinkToFit="1"/>
    </xf>
    <xf numFmtId="49" fontId="7" fillId="5" borderId="11" xfId="1" applyNumberFormat="1" applyFont="1" applyFill="1" applyBorder="1" applyAlignment="1">
      <alignment horizontal="left" vertical="center"/>
    </xf>
  </cellXfs>
  <cellStyles count="63">
    <cellStyle name="20% - Accent1" xfId="39" builtinId="30" customBuiltin="1"/>
    <cellStyle name="20% - Accent2" xfId="42" builtinId="34" customBuiltin="1"/>
    <cellStyle name="20% - Accent3" xfId="45" builtinId="38" customBuiltin="1"/>
    <cellStyle name="20% - Accent3 2" xfId="19" xr:uid="{4503A0E1-73B5-4C9B-85A8-431D82851262}"/>
    <cellStyle name="20% - Accent4" xfId="47" builtinId="42" customBuiltin="1"/>
    <cellStyle name="20% - Accent5" xfId="50" builtinId="46" customBuiltin="1"/>
    <cellStyle name="20% - Accent6" xfId="53" builtinId="50" customBuiltin="1"/>
    <cellStyle name="40% - Accent1" xfId="40" builtinId="31" customBuiltin="1"/>
    <cellStyle name="40% - Accent1 2" xfId="5" xr:uid="{13DCDBEA-13DF-4FEE-B3CF-49433204F830}"/>
    <cellStyle name="40% - Accent2" xfId="43" builtinId="35" customBuiltin="1"/>
    <cellStyle name="40% - Accent2 2" xfId="8" xr:uid="{D39E7196-6385-4EA6-BCF2-7CA2848D28D3}"/>
    <cellStyle name="40% - Accent3" xfId="46" builtinId="39" customBuiltin="1"/>
    <cellStyle name="40% - Accent4" xfId="48" builtinId="43" customBuiltin="1"/>
    <cellStyle name="40% - Accent4 2" xfId="11" xr:uid="{E71322C9-F002-40D2-96A8-C19335D3F22B}"/>
    <cellStyle name="40% - Accent5" xfId="51" builtinId="47" customBuiltin="1"/>
    <cellStyle name="40% - Accent6" xfId="54" builtinId="51" customBuiltin="1"/>
    <cellStyle name="40% - Accent6 2" xfId="14" xr:uid="{B134DA8D-DB5E-47B4-8F88-7E77A9FAEFCA}"/>
    <cellStyle name="60% - Accent1 2" xfId="6" xr:uid="{D6933F17-1D91-4486-961A-F4B0C26D36B2}"/>
    <cellStyle name="60% - Accent1 3" xfId="56" xr:uid="{19495B5D-F989-45C0-A34B-6BE5D6C0A598}"/>
    <cellStyle name="60% - Accent2 2" xfId="9" xr:uid="{665EC327-7230-42A8-8FA5-CB7DF5843AC5}"/>
    <cellStyle name="60% - Accent2 3" xfId="57" xr:uid="{E8D9263E-2EDD-4B63-A85A-9817BA165F51}"/>
    <cellStyle name="60% - Accent3 2" xfId="58" xr:uid="{D3009BA1-1E8E-40E5-BA1E-71144209226C}"/>
    <cellStyle name="60% - Accent4 2" xfId="12" xr:uid="{4E540F41-0C09-4296-AD46-8899CC02941F}"/>
    <cellStyle name="60% - Accent4 3" xfId="59" xr:uid="{8F69AB3B-B538-43AB-AABE-7BF1C38AB10B}"/>
    <cellStyle name="60% - Accent5 2" xfId="60" xr:uid="{ED6085BC-CD27-4036-A1F0-19556500AE61}"/>
    <cellStyle name="60% - Accent6 2" xfId="15" xr:uid="{A7B716DF-BD4C-470A-BF9B-4A7C59290729}"/>
    <cellStyle name="60% - Accent6 3" xfId="61" xr:uid="{BA2B9387-EE38-4DE5-942E-DC14E7431808}"/>
    <cellStyle name="Accent1" xfId="38" builtinId="29" customBuiltin="1"/>
    <cellStyle name="Accent1 2" xfId="4" xr:uid="{C115C1FE-11BE-4C53-8FC3-59264C0E050F}"/>
    <cellStyle name="Accent2" xfId="41" builtinId="33" customBuiltin="1"/>
    <cellStyle name="Accent2 2" xfId="7" xr:uid="{9FB7F857-9ED9-439F-9619-34BE76B52133}"/>
    <cellStyle name="Accent3" xfId="44" builtinId="37" customBuiltin="1"/>
    <cellStyle name="Accent4" xfId="21" builtinId="41" customBuiltin="1"/>
    <cellStyle name="Accent4 2" xfId="10" xr:uid="{61FB638A-007E-402E-A2F7-EDF6BB72B6FE}"/>
    <cellStyle name="Accent5" xfId="49" builtinId="45" customBuiltin="1"/>
    <cellStyle name="Accent5 2" xfId="16" xr:uid="{A8095840-5BC1-460F-8BCF-1D242377EC6D}"/>
    <cellStyle name="Accent6" xfId="52" builtinId="49" customBuiltin="1"/>
    <cellStyle name="Accent6 2" xfId="13" xr:uid="{F7435511-2C5F-47AB-885B-052B48DA0E08}"/>
    <cellStyle name="Bad" xfId="28" builtinId="27" customBuiltin="1"/>
    <cellStyle name="Calculation" xfId="31" builtinId="22" customBuiltin="1"/>
    <cellStyle name="Calculation 2" xfId="18" xr:uid="{24EAB401-41E6-4AEB-84F6-2851ED655EA5}"/>
    <cellStyle name="Check Cell" xfId="33" builtinId="23" customBuiltin="1"/>
    <cellStyle name="Check Cell 2" xfId="20" xr:uid="{B60AD732-EE96-488B-AE7C-E7CB33607F8A}"/>
    <cellStyle name="Explanatory Text" xfId="36" builtinId="53" customBuiltin="1"/>
    <cellStyle name="Good" xfId="27" builtinId="26" customBuiltin="1"/>
    <cellStyle name="Heading 1" xfId="23" builtinId="16" customBuiltin="1"/>
    <cellStyle name="Heading 1 2" xfId="17" xr:uid="{3ACA4C0F-6C5B-4FFA-BCA8-8E502B84D9CA}"/>
    <cellStyle name="Heading 2" xfId="24" builtinId="17" customBuiltin="1"/>
    <cellStyle name="Heading 3" xfId="25" builtinId="18" customBuiltin="1"/>
    <cellStyle name="Heading 4" xfId="26" builtinId="19" customBuiltin="1"/>
    <cellStyle name="Hyperlink" xfId="2" builtinId="8"/>
    <cellStyle name="Input" xfId="29" builtinId="20" customBuiltin="1"/>
    <cellStyle name="Linked Cell" xfId="32" builtinId="24" customBuiltin="1"/>
    <cellStyle name="Neutral 2" xfId="55" xr:uid="{00D17230-AB46-4CD3-950E-A498A872005D}"/>
    <cellStyle name="Normal" xfId="0" builtinId="0"/>
    <cellStyle name="Normal 2" xfId="3" xr:uid="{5A3DDD7D-5CCD-44E8-AE4F-A26B6D0C274A}"/>
    <cellStyle name="Normal_Heat Exchanger Detail Design Project1" xfId="1" xr:uid="{4A42C5A7-F3AB-450E-8221-20F478F090A8}"/>
    <cellStyle name="Note" xfId="35" builtinId="10" customBuiltin="1"/>
    <cellStyle name="Output" xfId="30" builtinId="21" customBuiltin="1"/>
    <cellStyle name="Style 4" xfId="62" xr:uid="{F538F23D-DDCD-4C73-8F27-7767CA99F28D}"/>
    <cellStyle name="Title" xfId="22" builtinId="15" customBuiltin="1"/>
    <cellStyle name="Total" xfId="37" builtinId="25" customBuiltin="1"/>
    <cellStyle name="Warning Text" xfId="34" builtinId="11" customBuiltin="1"/>
  </cellStyles>
  <dxfs count="41">
    <dxf>
      <font>
        <b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CC"/>
      <color rgb="FFFFFFCC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visc(cold side)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visc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Properties!$F$19:$F$28</c:f>
              <c:numCache>
                <c:formatCode>General</c:formatCode>
                <c:ptCount val="10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84</c:v>
                </c:pt>
              </c:numCache>
            </c:numRef>
          </c:xVal>
          <c:yVal>
            <c:numRef>
              <c:f>Properties!$K$19:$K$28</c:f>
              <c:numCache>
                <c:formatCode>General</c:formatCode>
                <c:ptCount val="10"/>
                <c:pt idx="0">
                  <c:v>0.246</c:v>
                </c:pt>
                <c:pt idx="1">
                  <c:v>0.23499999999999999</c:v>
                </c:pt>
                <c:pt idx="2">
                  <c:v>0.22500000000000001</c:v>
                </c:pt>
                <c:pt idx="3">
                  <c:v>0.21299999999999999</c:v>
                </c:pt>
                <c:pt idx="4">
                  <c:v>0.20200000000000001</c:v>
                </c:pt>
                <c:pt idx="5">
                  <c:v>0.193</c:v>
                </c:pt>
                <c:pt idx="6">
                  <c:v>0.184</c:v>
                </c:pt>
                <c:pt idx="7">
                  <c:v>0.17699999999999999</c:v>
                </c:pt>
                <c:pt idx="8">
                  <c:v>0.17</c:v>
                </c:pt>
                <c:pt idx="9">
                  <c:v>0.16500000000000001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B3-493C-B348-837F72F25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679872"/>
        <c:axId val="1313358384"/>
      </c:scatterChart>
      <c:valAx>
        <c:axId val="130867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358384"/>
        <c:crosses val="autoZero"/>
        <c:crossBetween val="midCat"/>
      </c:valAx>
      <c:valAx>
        <c:axId val="13133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67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visc(hot side)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Properties!$F$4:$F$13</c:f>
              <c:numCache>
                <c:formatCode>General</c:formatCode>
                <c:ptCount val="10"/>
                <c:pt idx="0">
                  <c:v>102</c:v>
                </c:pt>
                <c:pt idx="1">
                  <c:v>99</c:v>
                </c:pt>
                <c:pt idx="2">
                  <c:v>95</c:v>
                </c:pt>
                <c:pt idx="3">
                  <c:v>92</c:v>
                </c:pt>
                <c:pt idx="4">
                  <c:v>89</c:v>
                </c:pt>
                <c:pt idx="5">
                  <c:v>86</c:v>
                </c:pt>
                <c:pt idx="6">
                  <c:v>82</c:v>
                </c:pt>
                <c:pt idx="7">
                  <c:v>79</c:v>
                </c:pt>
                <c:pt idx="8">
                  <c:v>76</c:v>
                </c:pt>
                <c:pt idx="9">
                  <c:v>72</c:v>
                </c:pt>
              </c:numCache>
            </c:numRef>
          </c:xVal>
          <c:yVal>
            <c:numRef>
              <c:f>Properties!$K$4:$K$13</c:f>
              <c:numCache>
                <c:formatCode>General</c:formatCode>
                <c:ptCount val="10"/>
                <c:pt idx="0">
                  <c:v>0.16500000000000001</c:v>
                </c:pt>
                <c:pt idx="1">
                  <c:v>0.16800000000000001</c:v>
                </c:pt>
                <c:pt idx="2">
                  <c:v>0.17100000000000001</c:v>
                </c:pt>
                <c:pt idx="3">
                  <c:v>0.17499999999999999</c:v>
                </c:pt>
                <c:pt idx="4">
                  <c:v>0.17899999999999999</c:v>
                </c:pt>
                <c:pt idx="5">
                  <c:v>0.183</c:v>
                </c:pt>
                <c:pt idx="6">
                  <c:v>0.188</c:v>
                </c:pt>
                <c:pt idx="7">
                  <c:v>0.192</c:v>
                </c:pt>
                <c:pt idx="8">
                  <c:v>0.19800000000000001</c:v>
                </c:pt>
                <c:pt idx="9">
                  <c:v>0.20300000000000001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F9-43E2-9057-97C04C516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687296"/>
        <c:axId val="1313367984"/>
      </c:scatterChart>
      <c:valAx>
        <c:axId val="1308687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367984"/>
        <c:crosses val="autoZero"/>
        <c:crossBetween val="midCat"/>
      </c:valAx>
      <c:valAx>
        <c:axId val="13133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68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Sp. Heat(HOt Side)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Sp. Heat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Properties!$F$4:$F$13</c:f>
              <c:numCache>
                <c:formatCode>General</c:formatCode>
                <c:ptCount val="10"/>
                <c:pt idx="0">
                  <c:v>102</c:v>
                </c:pt>
                <c:pt idx="1">
                  <c:v>99</c:v>
                </c:pt>
                <c:pt idx="2">
                  <c:v>95</c:v>
                </c:pt>
                <c:pt idx="3">
                  <c:v>92</c:v>
                </c:pt>
                <c:pt idx="4">
                  <c:v>89</c:v>
                </c:pt>
                <c:pt idx="5">
                  <c:v>86</c:v>
                </c:pt>
                <c:pt idx="6">
                  <c:v>82</c:v>
                </c:pt>
                <c:pt idx="7">
                  <c:v>79</c:v>
                </c:pt>
                <c:pt idx="8">
                  <c:v>76</c:v>
                </c:pt>
                <c:pt idx="9">
                  <c:v>72</c:v>
                </c:pt>
              </c:numCache>
            </c:numRef>
          </c:xVal>
          <c:yVal>
            <c:numRef>
              <c:f>Properties!$I$4:$I$13</c:f>
              <c:numCache>
                <c:formatCode>General</c:formatCode>
                <c:ptCount val="10"/>
                <c:pt idx="0">
                  <c:v>2.64</c:v>
                </c:pt>
                <c:pt idx="1">
                  <c:v>2.62</c:v>
                </c:pt>
                <c:pt idx="2">
                  <c:v>2.6</c:v>
                </c:pt>
                <c:pt idx="3">
                  <c:v>2.58</c:v>
                </c:pt>
                <c:pt idx="4">
                  <c:v>2.56</c:v>
                </c:pt>
                <c:pt idx="5">
                  <c:v>2.54</c:v>
                </c:pt>
                <c:pt idx="6">
                  <c:v>2.52</c:v>
                </c:pt>
                <c:pt idx="7">
                  <c:v>2.5</c:v>
                </c:pt>
                <c:pt idx="8">
                  <c:v>2.48</c:v>
                </c:pt>
                <c:pt idx="9">
                  <c:v>2.46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55-4CD1-97EE-B634CD411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7159808"/>
        <c:axId val="1313392464"/>
      </c:scatterChart>
      <c:valAx>
        <c:axId val="15271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392464"/>
        <c:crosses val="autoZero"/>
        <c:crossBetween val="midCat"/>
      </c:valAx>
      <c:valAx>
        <c:axId val="131339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15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Sp. Heat(Cold Side)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Properties!$F$19:$F$28</c:f>
              <c:numCache>
                <c:formatCode>General</c:formatCode>
                <c:ptCount val="10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84</c:v>
                </c:pt>
              </c:numCache>
            </c:numRef>
          </c:xVal>
          <c:yVal>
            <c:numRef>
              <c:f>Properties!$I$19:$I$28</c:f>
              <c:numCache>
                <c:formatCode>General</c:formatCode>
                <c:ptCount val="10"/>
                <c:pt idx="0">
                  <c:v>2.34</c:v>
                </c:pt>
                <c:pt idx="1">
                  <c:v>2.37</c:v>
                </c:pt>
                <c:pt idx="2">
                  <c:v>2.4</c:v>
                </c:pt>
                <c:pt idx="3">
                  <c:v>2.42</c:v>
                </c:pt>
                <c:pt idx="4">
                  <c:v>2.4500000000000002</c:v>
                </c:pt>
                <c:pt idx="5">
                  <c:v>2.48</c:v>
                </c:pt>
                <c:pt idx="6">
                  <c:v>2.5099999999999998</c:v>
                </c:pt>
                <c:pt idx="7">
                  <c:v>2.54</c:v>
                </c:pt>
                <c:pt idx="8">
                  <c:v>2.57</c:v>
                </c:pt>
                <c:pt idx="9">
                  <c:v>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AC-4ED8-AC67-EFBB6829F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4795232"/>
        <c:axId val="1313391024"/>
      </c:scatterChart>
      <c:valAx>
        <c:axId val="130479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391024"/>
        <c:crosses val="autoZero"/>
        <c:crossBetween val="midCat"/>
      </c:valAx>
      <c:valAx>
        <c:axId val="13133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479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Properties!$J$2</c:f>
              <c:strCache>
                <c:ptCount val="1"/>
                <c:pt idx="0">
                  <c:v>Therm. Cond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Properties!$F$4:$F$13</c:f>
              <c:numCache>
                <c:formatCode>General</c:formatCode>
                <c:ptCount val="10"/>
                <c:pt idx="0">
                  <c:v>102</c:v>
                </c:pt>
                <c:pt idx="1">
                  <c:v>99</c:v>
                </c:pt>
                <c:pt idx="2">
                  <c:v>95</c:v>
                </c:pt>
                <c:pt idx="3">
                  <c:v>92</c:v>
                </c:pt>
                <c:pt idx="4">
                  <c:v>89</c:v>
                </c:pt>
                <c:pt idx="5">
                  <c:v>86</c:v>
                </c:pt>
                <c:pt idx="6">
                  <c:v>82</c:v>
                </c:pt>
                <c:pt idx="7">
                  <c:v>79</c:v>
                </c:pt>
                <c:pt idx="8">
                  <c:v>76</c:v>
                </c:pt>
                <c:pt idx="9">
                  <c:v>72</c:v>
                </c:pt>
              </c:numCache>
            </c:numRef>
          </c:xVal>
          <c:yVal>
            <c:numRef>
              <c:f>Properties!$J$4:$J$13</c:f>
              <c:numCache>
                <c:formatCode>General</c:formatCode>
                <c:ptCount val="10"/>
                <c:pt idx="0">
                  <c:v>0.11700000000000001</c:v>
                </c:pt>
                <c:pt idx="1">
                  <c:v>0.11700000000000001</c:v>
                </c:pt>
                <c:pt idx="2">
                  <c:v>0.11799999999999999</c:v>
                </c:pt>
                <c:pt idx="3">
                  <c:v>0.11799999999999999</c:v>
                </c:pt>
                <c:pt idx="4">
                  <c:v>0.11899999999999999</c:v>
                </c:pt>
                <c:pt idx="5">
                  <c:v>0.11899999999999999</c:v>
                </c:pt>
                <c:pt idx="6">
                  <c:v>0.12</c:v>
                </c:pt>
                <c:pt idx="7">
                  <c:v>0.12</c:v>
                </c:pt>
                <c:pt idx="8">
                  <c:v>0.121</c:v>
                </c:pt>
                <c:pt idx="9">
                  <c:v>0.121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83-4DA2-BA50-344227F62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214944"/>
        <c:axId val="1313398704"/>
      </c:scatterChart>
      <c:valAx>
        <c:axId val="151021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398704"/>
        <c:crosses val="autoZero"/>
        <c:crossBetween val="midCat"/>
      </c:valAx>
      <c:valAx>
        <c:axId val="131339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021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Properties!$J$17</c:f>
              <c:strCache>
                <c:ptCount val="1"/>
                <c:pt idx="0">
                  <c:v>Therm. Cond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Properties!$F$19:$F$28</c:f>
              <c:numCache>
                <c:formatCode>General</c:formatCode>
                <c:ptCount val="10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84</c:v>
                </c:pt>
              </c:numCache>
            </c:numRef>
          </c:xVal>
          <c:yVal>
            <c:numRef>
              <c:f>Properties!$J$19:$J$28</c:f>
              <c:numCache>
                <c:formatCode>General</c:formatCode>
                <c:ptCount val="10"/>
                <c:pt idx="0">
                  <c:v>0.126</c:v>
                </c:pt>
                <c:pt idx="1">
                  <c:v>0.125</c:v>
                </c:pt>
                <c:pt idx="2">
                  <c:v>0.124</c:v>
                </c:pt>
                <c:pt idx="3">
                  <c:v>0.123</c:v>
                </c:pt>
                <c:pt idx="4">
                  <c:v>0.123</c:v>
                </c:pt>
                <c:pt idx="5">
                  <c:v>0.122</c:v>
                </c:pt>
                <c:pt idx="6">
                  <c:v>0.121</c:v>
                </c:pt>
                <c:pt idx="7">
                  <c:v>0.121</c:v>
                </c:pt>
                <c:pt idx="8">
                  <c:v>0.12</c:v>
                </c:pt>
                <c:pt idx="9">
                  <c:v>0.11899999999999999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87A-9751-7492C82CD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361632"/>
        <c:axId val="1313397264"/>
      </c:scatterChart>
      <c:valAx>
        <c:axId val="16483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397264"/>
        <c:crosses val="autoZero"/>
        <c:crossBetween val="midCat"/>
      </c:valAx>
      <c:valAx>
        <c:axId val="131339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36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Properties!$H$17</c:f>
              <c:strCache>
                <c:ptCount val="1"/>
                <c:pt idx="0">
                  <c:v>Density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Properties!$F$19:$F$28</c:f>
              <c:numCache>
                <c:formatCode>General</c:formatCode>
                <c:ptCount val="10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84</c:v>
                </c:pt>
              </c:numCache>
            </c:numRef>
          </c:xVal>
          <c:yVal>
            <c:numRef>
              <c:f>Properties!$H$19:$H$28</c:f>
              <c:numCache>
                <c:formatCode>General</c:formatCode>
                <c:ptCount val="10"/>
                <c:pt idx="0">
                  <c:v>601.4</c:v>
                </c:pt>
                <c:pt idx="1">
                  <c:v>604.9</c:v>
                </c:pt>
                <c:pt idx="2">
                  <c:v>608.29999999999995</c:v>
                </c:pt>
                <c:pt idx="3">
                  <c:v>611.70000000000005</c:v>
                </c:pt>
                <c:pt idx="4">
                  <c:v>615.1</c:v>
                </c:pt>
                <c:pt idx="5">
                  <c:v>618.5</c:v>
                </c:pt>
                <c:pt idx="6">
                  <c:v>621.9</c:v>
                </c:pt>
                <c:pt idx="7">
                  <c:v>625.29999999999995</c:v>
                </c:pt>
                <c:pt idx="8">
                  <c:v>628.70000000000005</c:v>
                </c:pt>
                <c:pt idx="9">
                  <c:v>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E3-4D0E-AB0E-18E166F52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7708816"/>
        <c:axId val="1313371824"/>
      </c:scatterChart>
      <c:valAx>
        <c:axId val="1507708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371824"/>
        <c:crosses val="autoZero"/>
        <c:crossBetween val="midCat"/>
      </c:valAx>
      <c:valAx>
        <c:axId val="13133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7708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Properties!$H$2</c:f>
              <c:strCache>
                <c:ptCount val="1"/>
                <c:pt idx="0">
                  <c:v>Density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Properties!$F$4:$F$13</c:f>
              <c:numCache>
                <c:formatCode>General</c:formatCode>
                <c:ptCount val="10"/>
                <c:pt idx="0">
                  <c:v>102</c:v>
                </c:pt>
                <c:pt idx="1">
                  <c:v>99</c:v>
                </c:pt>
                <c:pt idx="2">
                  <c:v>95</c:v>
                </c:pt>
                <c:pt idx="3">
                  <c:v>92</c:v>
                </c:pt>
                <c:pt idx="4">
                  <c:v>89</c:v>
                </c:pt>
                <c:pt idx="5">
                  <c:v>86</c:v>
                </c:pt>
                <c:pt idx="6">
                  <c:v>82</c:v>
                </c:pt>
                <c:pt idx="7">
                  <c:v>79</c:v>
                </c:pt>
                <c:pt idx="8">
                  <c:v>76</c:v>
                </c:pt>
                <c:pt idx="9">
                  <c:v>72</c:v>
                </c:pt>
              </c:numCache>
            </c:numRef>
          </c:xVal>
          <c:yVal>
            <c:numRef>
              <c:f>Properties!$H$4:$H$13</c:f>
              <c:numCache>
                <c:formatCode>General</c:formatCode>
                <c:ptCount val="10"/>
                <c:pt idx="0">
                  <c:v>601.4</c:v>
                </c:pt>
                <c:pt idx="1">
                  <c:v>604.9</c:v>
                </c:pt>
                <c:pt idx="2">
                  <c:v>608.29999999999995</c:v>
                </c:pt>
                <c:pt idx="3">
                  <c:v>611.70000000000005</c:v>
                </c:pt>
                <c:pt idx="4">
                  <c:v>615.1</c:v>
                </c:pt>
                <c:pt idx="5">
                  <c:v>618.5</c:v>
                </c:pt>
                <c:pt idx="6">
                  <c:v>621.9</c:v>
                </c:pt>
                <c:pt idx="7">
                  <c:v>625.29999999999995</c:v>
                </c:pt>
                <c:pt idx="8">
                  <c:v>628.70000000000005</c:v>
                </c:pt>
                <c:pt idx="9">
                  <c:v>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86-4CC3-9E4F-A8A3A6BE5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362560"/>
        <c:axId val="1313384304"/>
      </c:scatterChart>
      <c:valAx>
        <c:axId val="164836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384304"/>
        <c:crosses val="autoZero"/>
        <c:crossBetween val="midCat"/>
      </c:valAx>
      <c:valAx>
        <c:axId val="13133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36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298825</xdr:colOff>
      <xdr:row>14</xdr:row>
      <xdr:rowOff>112058</xdr:rowOff>
    </xdr:from>
    <xdr:to>
      <xdr:col>20</xdr:col>
      <xdr:colOff>127001</xdr:colOff>
      <xdr:row>25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14B331-9061-3CF5-9C6A-78750C244D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301627</xdr:colOff>
      <xdr:row>0</xdr:row>
      <xdr:rowOff>1</xdr:rowOff>
    </xdr:from>
    <xdr:to>
      <xdr:col>20</xdr:col>
      <xdr:colOff>142875</xdr:colOff>
      <xdr:row>10</xdr:row>
      <xdr:rowOff>76201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EFF30F3-CDA4-B84B-F455-7D2669C5FA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79374</xdr:colOff>
      <xdr:row>0</xdr:row>
      <xdr:rowOff>50801</xdr:rowOff>
    </xdr:from>
    <xdr:to>
      <xdr:col>26</xdr:col>
      <xdr:colOff>165100</xdr:colOff>
      <xdr:row>10</xdr:row>
      <xdr:rowOff>127001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A1CA8CD-3A6C-D24E-A72E-25546FC1CA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3629</xdr:colOff>
      <xdr:row>14</xdr:row>
      <xdr:rowOff>111126</xdr:rowOff>
    </xdr:from>
    <xdr:to>
      <xdr:col>26</xdr:col>
      <xdr:colOff>118835</xdr:colOff>
      <xdr:row>25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7AE43B4-DC92-3EFF-4BD0-3D5A8F767C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77644</xdr:colOff>
      <xdr:row>0</xdr:row>
      <xdr:rowOff>101601</xdr:rowOff>
    </xdr:from>
    <xdr:to>
      <xdr:col>32</xdr:col>
      <xdr:colOff>304800</xdr:colOff>
      <xdr:row>10</xdr:row>
      <xdr:rowOff>127000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A3380A2-1C4D-5462-D001-A96118264A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183242</xdr:colOff>
      <xdr:row>15</xdr:row>
      <xdr:rowOff>25400</xdr:rowOff>
    </xdr:from>
    <xdr:to>
      <xdr:col>33</xdr:col>
      <xdr:colOff>163286</xdr:colOff>
      <xdr:row>25</xdr:row>
      <xdr:rowOff>78014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3BEC987-B2D5-396E-24B0-666BF94998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34</xdr:col>
      <xdr:colOff>104323</xdr:colOff>
      <xdr:row>15</xdr:row>
      <xdr:rowOff>0</xdr:rowOff>
    </xdr:from>
    <xdr:to>
      <xdr:col>40</xdr:col>
      <xdr:colOff>127000</xdr:colOff>
      <xdr:row>25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3DFB275-123D-1A45-BC74-914730AD04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473363</xdr:colOff>
      <xdr:row>0</xdr:row>
      <xdr:rowOff>127001</xdr:rowOff>
    </xdr:from>
    <xdr:to>
      <xdr:col>39</xdr:col>
      <xdr:colOff>228600</xdr:colOff>
      <xdr:row>10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99A466E-1E0E-3BAE-AA48-70783A01E2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81643</xdr:colOff>
      <xdr:row>34</xdr:row>
      <xdr:rowOff>172357</xdr:rowOff>
    </xdr:from>
    <xdr:to>
      <xdr:col>11</xdr:col>
      <xdr:colOff>698499</xdr:colOff>
      <xdr:row>39</xdr:row>
      <xdr:rowOff>90714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6CF5A6-22C6-4B63-8B06-6575A8D80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23929" y="6350000"/>
          <a:ext cx="1614713" cy="8255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ahareh/Desktop/&#1662;&#1585;&#1608;&#1688;&#1607;%20&#1605;&#1576;&#1583;&#1604;/kord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ahareh/Desktop/FYY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duction"/>
      <sheetName val="content"/>
      <sheetName val="Data"/>
      <sheetName val="Tube"/>
      <sheetName val="kern"/>
      <sheetName val="bell"/>
      <sheetName val="FCalFormula (2)"/>
      <sheetName val="mechD"/>
      <sheetName val="weight"/>
      <sheetName val="cost"/>
      <sheetName val="tema"/>
      <sheetName val="layout"/>
      <sheetName val="reffrence"/>
    </sheetNames>
    <sheetDataSet>
      <sheetData sheetId="0" refreshError="1"/>
      <sheetData sheetId="1" refreshError="1"/>
      <sheetData sheetId="2">
        <row r="4">
          <cell r="X4">
            <v>1.695E-2</v>
          </cell>
        </row>
      </sheetData>
      <sheetData sheetId="3">
        <row r="10">
          <cell r="D10">
            <v>1045.0675239789821</v>
          </cell>
        </row>
      </sheetData>
      <sheetData sheetId="4" refreshError="1"/>
      <sheetData sheetId="5">
        <row r="9">
          <cell r="C9">
            <v>0.77</v>
          </cell>
        </row>
        <row r="10">
          <cell r="C10">
            <v>0.92151199413758755</v>
          </cell>
        </row>
      </sheetData>
      <sheetData sheetId="6" refreshError="1"/>
      <sheetData sheetId="7">
        <row r="12">
          <cell r="D12">
            <v>2.0999999999999999E-3</v>
          </cell>
        </row>
        <row r="15">
          <cell r="D15">
            <v>8.125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perties"/>
      <sheetName val="Kern Method"/>
      <sheetName val="Bell Method"/>
      <sheetName val="Mech Design"/>
      <sheetName val="weight"/>
      <sheetName val="cost"/>
      <sheetName val="Tema"/>
    </sheetNames>
    <sheetDataSet>
      <sheetData sheetId="0" refreshError="1"/>
      <sheetData sheetId="1" refreshError="1"/>
      <sheetData sheetId="2">
        <row r="114">
          <cell r="P114">
            <v>434.79733727834395</v>
          </cell>
        </row>
      </sheetData>
      <sheetData sheetId="3" refreshError="1"/>
      <sheetData sheetId="4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F3BB90-1C6B-42A9-BDA9-70F9D98F794D}" name="Table1" displayName="Table1" ref="A2:C8" totalsRowShown="0" headerRowDxfId="40" dataDxfId="39">
  <autoFilter ref="A2:C8" xr:uid="{24F3BB90-1C6B-42A9-BDA9-70F9D98F794D}"/>
  <tableColumns count="3">
    <tableColumn id="1" xr3:uid="{631DC63A-1C71-4A10-A7EB-EBE00E2756E8}" name="Properties, Units" dataDxfId="38"/>
    <tableColumn id="2" xr3:uid="{20F56646-FB56-4558-8313-C37C436DB6BC}" name="Cold Stream (Shell side)" dataDxfId="37"/>
    <tableColumn id="3" xr3:uid="{58C8E0CA-015C-4525-9328-32B914AB68BD}" name="Hot Stream (Tube side)" dataDxfId="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0CC56CA-A3B1-4761-8904-AD3D5E363814}" name="Table7" displayName="Table7" ref="A12:B16" totalsRowShown="0" headerRowDxfId="35" dataDxfId="34">
  <autoFilter ref="A12:B16" xr:uid="{80CC56CA-A3B1-4761-8904-AD3D5E363814}"/>
  <tableColumns count="2">
    <tableColumn id="1" xr3:uid="{38F1BF05-0ED5-4E75-BEC4-4FC7D678CBB4}" name="Operating Pressure, barg" dataDxfId="33"/>
    <tableColumn id="2" xr3:uid="{85382417-7B6D-42AB-A472-9A896160AE3B}" name="Design Pressure, barg" dataDxfId="3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34A5AC-E6D8-4ACA-A4AA-B8867E1097ED}" name="Table8" displayName="Table8" ref="F2:N13" totalsRowShown="0" headerRowDxfId="31" dataDxfId="30">
  <autoFilter ref="F2:N13" xr:uid="{FE34A5AC-E6D8-4ACA-A4AA-B8867E1097ED}"/>
  <tableColumns count="9">
    <tableColumn id="1" xr3:uid="{4B2A3694-28AF-4C39-B0DE-CCA4DA9C955C}" name="Temp" dataDxfId="29"/>
    <tableColumn id="2" xr3:uid="{9703FAB7-B39B-49BD-8B4A-4914FD195B5E}" name="Enthalpy" dataDxfId="28"/>
    <tableColumn id="3" xr3:uid="{F2C434EF-A88E-46A3-A45B-4901CC8B9D20}" name="Density" dataDxfId="27"/>
    <tableColumn id="4" xr3:uid="{6BF806BA-2520-426F-92CE-630C054AE1EC}" name="Sp. Heat" dataDxfId="26"/>
    <tableColumn id="5" xr3:uid="{510C32C4-B28D-44D6-830E-B07C9631A0CE}" name="Therm. Cond" dataDxfId="25"/>
    <tableColumn id="6" xr3:uid="{CD31AF98-981A-4934-8FB1-2828675B30CF}" name="Viscosity" dataDxfId="24"/>
    <tableColumn id="7" xr3:uid="{787AB732-7268-41AE-BE37-F5ED3AD9A9F3}" name="Surface Tension" dataDxfId="23"/>
    <tableColumn id="8" xr3:uid="{8B87B319-7589-4B95-93FE-8CA8545207DF}" name="Critical Pre." dataDxfId="22"/>
    <tableColumn id="9" xr3:uid="{82F9B3AA-2669-400B-A818-6E22F3D976B9}" name="Critical Temp.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D27457A-DEFB-40A7-B6C1-4B63F1FD872B}" name="Table810" displayName="Table810" ref="F17:N28" totalsRowShown="0" headerRowDxfId="20" dataDxfId="19">
  <autoFilter ref="F17:N28" xr:uid="{AD27457A-DEFB-40A7-B6C1-4B63F1FD872B}"/>
  <tableColumns count="9">
    <tableColumn id="1" xr3:uid="{19178E56-92CD-4C4C-BBE0-08BE0DDD3424}" name="Temp" dataDxfId="18"/>
    <tableColumn id="2" xr3:uid="{C0031DCE-A15D-4A4C-B506-E3AEFC46962A}" name="Enthalpy" dataDxfId="17"/>
    <tableColumn id="3" xr3:uid="{F7A16F74-439D-4B7B-B78C-DFB68589BB57}" name="Density" dataDxfId="16"/>
    <tableColumn id="4" xr3:uid="{7EC4BD92-C1A0-4934-8601-770E31D9D22D}" name="Sp. Heat" dataDxfId="15"/>
    <tableColumn id="5" xr3:uid="{04D483B4-F914-49AE-AFEF-FBBA035CF9A0}" name="Therm. Cond" dataDxfId="14"/>
    <tableColumn id="6" xr3:uid="{83DCFEA0-95B5-4451-A7D6-C935952B399A}" name="Viscosity" dataDxfId="13"/>
    <tableColumn id="7" xr3:uid="{7EF4BDF5-59F7-4B23-8530-1564A8F805B6}" name="Surface Tension" dataDxfId="12"/>
    <tableColumn id="8" xr3:uid="{63A0708E-052D-4363-BF40-F7F91665D50A}" name="Critical Pre." dataDxfId="11"/>
    <tableColumn id="9" xr3:uid="{EF1939CC-BAAB-43FC-A6D1-7DE7FC307265}" name="Critical Temp.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E5B028-4AEE-4A9C-B889-3BE618B06142}" name="Table13" displayName="Table13" ref="A22:C28" totalsRowShown="0" headerRowDxfId="9" dataDxfId="8">
  <autoFilter ref="A22:C28" xr:uid="{8CE5B028-4AEE-4A9C-B889-3BE618B06142}"/>
  <tableColumns count="3">
    <tableColumn id="1" xr3:uid="{AC8A1C5D-851F-4E13-8154-443A8A62FB3F}" name="Properties, Units" dataDxfId="7"/>
    <tableColumn id="2" xr3:uid="{552E4913-4441-4B91-A8FD-C73F763653CC}" name="Cold Stream (Shell side)" dataDxfId="6"/>
    <tableColumn id="3" xr3:uid="{54C24A2A-9EF8-4529-9F17-032D60DE3EB5}" name="Hot Stream (Tube side)" dataDxfId="5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3FE991-53D8-4F67-B4F3-595F2C552813}" name="Table134" displayName="Table134" ref="A22:C28" totalsRowShown="0" headerRowDxfId="4" dataDxfId="3">
  <autoFilter ref="A22:C28" xr:uid="{443FE991-53D8-4F67-B4F3-595F2C552813}"/>
  <tableColumns count="3">
    <tableColumn id="1" xr3:uid="{20BCDF0E-B1A2-4787-ADE1-D45010E25BA7}" name="Properties, Units" dataDxfId="2"/>
    <tableColumn id="2" xr3:uid="{276FAC06-93EE-4E85-8DF1-D2D3224BDACB}" name="Cold Stream (Shell side)" dataDxfId="1"/>
    <tableColumn id="3" xr3:uid="{EC04A3CF-552D-43C5-860F-1382ACD6A00D}" name="Hot Stream (Tube side)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96C59-66E4-4361-951F-9AED50F4736E}">
  <sheetPr codeName="Sheet1"/>
  <dimension ref="A1:N37"/>
  <sheetViews>
    <sheetView showGridLines="0" zoomScale="25" zoomScaleNormal="25" workbookViewId="0">
      <selection activeCell="B5" sqref="B5"/>
    </sheetView>
  </sheetViews>
  <sheetFormatPr defaultRowHeight="14"/>
  <cols>
    <col min="1" max="1" width="25.26953125" style="7" bestFit="1" customWidth="1"/>
    <col min="2" max="2" width="26.26953125" style="7" bestFit="1" customWidth="1"/>
    <col min="3" max="3" width="33.7265625" style="7" bestFit="1" customWidth="1"/>
    <col min="4" max="4" width="10.6328125" style="7" customWidth="1"/>
    <col min="5" max="5" width="10.26953125" style="7" customWidth="1"/>
    <col min="6" max="8" width="10.6328125" style="7" customWidth="1"/>
    <col min="9" max="9" width="10.453125" style="7" bestFit="1" customWidth="1"/>
    <col min="10" max="10" width="14.6328125" style="7" bestFit="1" customWidth="1"/>
    <col min="11" max="11" width="10.6328125" style="7" customWidth="1"/>
    <col min="12" max="12" width="17" style="7" bestFit="1" customWidth="1"/>
    <col min="13" max="13" width="13.6328125" style="7" bestFit="1" customWidth="1"/>
    <col min="14" max="14" width="15.7265625" style="7" bestFit="1" customWidth="1"/>
    <col min="15" max="16384" width="8.7265625" style="7"/>
  </cols>
  <sheetData>
    <row r="1" spans="1:14">
      <c r="A1" s="245" t="s">
        <v>3</v>
      </c>
      <c r="B1" s="245"/>
      <c r="C1" s="245"/>
      <c r="F1" s="245" t="s">
        <v>64</v>
      </c>
      <c r="G1" s="245"/>
      <c r="H1" s="245"/>
      <c r="I1" s="245"/>
      <c r="J1" s="245"/>
      <c r="K1" s="245"/>
      <c r="L1" s="245"/>
      <c r="M1" s="245"/>
      <c r="N1" s="245"/>
    </row>
    <row r="2" spans="1:14">
      <c r="A2" s="1" t="s">
        <v>0</v>
      </c>
      <c r="B2" s="1" t="s">
        <v>1</v>
      </c>
      <c r="C2" s="1" t="s">
        <v>2</v>
      </c>
      <c r="F2" s="7" t="s">
        <v>46</v>
      </c>
      <c r="G2" s="7" t="s">
        <v>47</v>
      </c>
      <c r="H2" s="7" t="s">
        <v>48</v>
      </c>
      <c r="I2" s="7" t="s">
        <v>49</v>
      </c>
      <c r="J2" s="7" t="s">
        <v>50</v>
      </c>
      <c r="K2" s="7" t="s">
        <v>51</v>
      </c>
      <c r="L2" s="7" t="s">
        <v>52</v>
      </c>
      <c r="M2" s="7" t="s">
        <v>53</v>
      </c>
      <c r="N2" s="7" t="s">
        <v>54</v>
      </c>
    </row>
    <row r="3" spans="1:14">
      <c r="A3" s="1" t="s">
        <v>4</v>
      </c>
      <c r="B3" s="1">
        <v>132296</v>
      </c>
      <c r="C3" s="1">
        <v>192743</v>
      </c>
      <c r="F3" s="7" t="s">
        <v>55</v>
      </c>
      <c r="G3" s="7" t="s">
        <v>56</v>
      </c>
      <c r="H3" s="7" t="s">
        <v>57</v>
      </c>
      <c r="I3" s="7" t="s">
        <v>58</v>
      </c>
      <c r="J3" s="7" t="s">
        <v>59</v>
      </c>
      <c r="K3" s="7" t="s">
        <v>60</v>
      </c>
      <c r="L3" s="7" t="s">
        <v>61</v>
      </c>
      <c r="M3" s="7" t="s">
        <v>62</v>
      </c>
      <c r="N3" s="7" t="s">
        <v>63</v>
      </c>
    </row>
    <row r="4" spans="1:14">
      <c r="A4" s="1" t="s">
        <v>5</v>
      </c>
      <c r="B4" s="1">
        <v>5.5</v>
      </c>
      <c r="C4" s="1">
        <v>14</v>
      </c>
      <c r="F4" s="7">
        <v>102</v>
      </c>
      <c r="G4" s="7">
        <v>11.02</v>
      </c>
      <c r="H4" s="7">
        <v>601.4</v>
      </c>
      <c r="I4" s="7">
        <v>2.64</v>
      </c>
      <c r="J4" s="7">
        <v>0.11700000000000001</v>
      </c>
      <c r="K4" s="7">
        <v>0.16500000000000001</v>
      </c>
      <c r="L4" s="7">
        <v>10.46</v>
      </c>
      <c r="M4" s="7">
        <v>34</v>
      </c>
      <c r="N4" s="7">
        <v>508</v>
      </c>
    </row>
    <row r="5" spans="1:14">
      <c r="A5" s="1" t="s">
        <v>9</v>
      </c>
      <c r="B5" s="1">
        <v>40</v>
      </c>
      <c r="C5" s="1">
        <v>102</v>
      </c>
      <c r="F5" s="7">
        <v>99</v>
      </c>
      <c r="G5" s="7">
        <v>10.57</v>
      </c>
      <c r="H5" s="7">
        <v>604.9</v>
      </c>
      <c r="I5" s="7">
        <v>2.62</v>
      </c>
      <c r="J5" s="7">
        <v>0.11700000000000001</v>
      </c>
      <c r="K5" s="7">
        <v>0.16800000000000001</v>
      </c>
      <c r="L5" s="7">
        <v>10.77</v>
      </c>
      <c r="M5" s="7">
        <v>34</v>
      </c>
      <c r="N5" s="7">
        <v>508</v>
      </c>
    </row>
    <row r="6" spans="1:14">
      <c r="A6" s="1" t="s">
        <v>8</v>
      </c>
      <c r="B6" s="1">
        <v>84</v>
      </c>
      <c r="C6" s="1">
        <v>72</v>
      </c>
      <c r="F6" s="7">
        <v>95</v>
      </c>
      <c r="G6" s="7">
        <v>10.130000000000001</v>
      </c>
      <c r="H6" s="7">
        <v>608.29999999999995</v>
      </c>
      <c r="I6" s="7">
        <v>2.6</v>
      </c>
      <c r="J6" s="7">
        <v>0.11799999999999999</v>
      </c>
      <c r="K6" s="7">
        <v>0.17100000000000001</v>
      </c>
      <c r="L6" s="7">
        <v>11.08</v>
      </c>
      <c r="M6" s="7">
        <v>34</v>
      </c>
      <c r="N6" s="7">
        <v>508</v>
      </c>
    </row>
    <row r="7" spans="1:14">
      <c r="A7" s="1" t="s">
        <v>6</v>
      </c>
      <c r="B7" s="1">
        <v>0.69</v>
      </c>
      <c r="C7" s="1">
        <v>1.03</v>
      </c>
      <c r="F7" s="7">
        <v>92</v>
      </c>
      <c r="G7" s="7">
        <v>9.68</v>
      </c>
      <c r="H7" s="7">
        <v>611.70000000000005</v>
      </c>
      <c r="I7" s="7">
        <v>2.58</v>
      </c>
      <c r="J7" s="7">
        <v>0.11799999999999999</v>
      </c>
      <c r="K7" s="7">
        <v>0.17499999999999999</v>
      </c>
      <c r="L7" s="7">
        <v>11.4</v>
      </c>
      <c r="M7" s="7">
        <v>34</v>
      </c>
      <c r="N7" s="7">
        <v>508</v>
      </c>
    </row>
    <row r="8" spans="1:14">
      <c r="A8" s="1" t="s">
        <v>7</v>
      </c>
      <c r="B8" s="1">
        <v>2.5999999999999998E-4</v>
      </c>
      <c r="C8" s="1">
        <v>2.5999999999999998E-4</v>
      </c>
      <c r="F8" s="7">
        <v>89</v>
      </c>
      <c r="G8" s="7">
        <v>9.24</v>
      </c>
      <c r="H8" s="7">
        <v>615.1</v>
      </c>
      <c r="I8" s="7">
        <v>2.56</v>
      </c>
      <c r="J8" s="7">
        <v>0.11899999999999999</v>
      </c>
      <c r="K8" s="7">
        <v>0.17899999999999999</v>
      </c>
      <c r="L8" s="7">
        <v>11.72</v>
      </c>
      <c r="M8" s="7">
        <v>34</v>
      </c>
      <c r="N8" s="7">
        <v>508</v>
      </c>
    </row>
    <row r="9" spans="1:14">
      <c r="F9" s="7">
        <v>86</v>
      </c>
      <c r="G9" s="7">
        <v>8.7899999999999991</v>
      </c>
      <c r="H9" s="7">
        <v>618.5</v>
      </c>
      <c r="I9" s="7">
        <v>2.54</v>
      </c>
      <c r="J9" s="7">
        <v>0.11899999999999999</v>
      </c>
      <c r="K9" s="7">
        <v>0.183</v>
      </c>
      <c r="L9" s="7">
        <v>12.04</v>
      </c>
      <c r="M9" s="7">
        <v>34</v>
      </c>
      <c r="N9" s="7">
        <v>508</v>
      </c>
    </row>
    <row r="10" spans="1:14">
      <c r="F10" s="7">
        <v>82</v>
      </c>
      <c r="G10" s="7">
        <v>8.34</v>
      </c>
      <c r="H10" s="7">
        <v>621.9</v>
      </c>
      <c r="I10" s="7">
        <v>2.52</v>
      </c>
      <c r="J10" s="7">
        <v>0.12</v>
      </c>
      <c r="K10" s="7">
        <v>0.188</v>
      </c>
      <c r="L10" s="7">
        <v>12.37</v>
      </c>
      <c r="M10" s="7">
        <v>34</v>
      </c>
      <c r="N10" s="7">
        <v>508</v>
      </c>
    </row>
    <row r="11" spans="1:14">
      <c r="A11" s="245" t="s">
        <v>34</v>
      </c>
      <c r="B11" s="245"/>
      <c r="F11" s="7">
        <v>79</v>
      </c>
      <c r="G11" s="7">
        <v>7.89</v>
      </c>
      <c r="H11" s="7">
        <v>625.29999999999995</v>
      </c>
      <c r="I11" s="7">
        <v>2.5</v>
      </c>
      <c r="J11" s="7">
        <v>0.12</v>
      </c>
      <c r="K11" s="7">
        <v>0.192</v>
      </c>
      <c r="L11" s="7">
        <v>12.71</v>
      </c>
      <c r="M11" s="7">
        <v>34</v>
      </c>
      <c r="N11" s="7">
        <v>508</v>
      </c>
    </row>
    <row r="12" spans="1:14">
      <c r="A12" s="7" t="s">
        <v>35</v>
      </c>
      <c r="B12" s="7" t="s">
        <v>36</v>
      </c>
      <c r="F12" s="7">
        <v>76</v>
      </c>
      <c r="G12" s="7">
        <v>7.44</v>
      </c>
      <c r="H12" s="7">
        <v>628.70000000000005</v>
      </c>
      <c r="I12" s="7">
        <v>2.48</v>
      </c>
      <c r="J12" s="7">
        <v>0.121</v>
      </c>
      <c r="K12" s="7">
        <v>0.19800000000000001</v>
      </c>
      <c r="L12" s="7">
        <v>13.04</v>
      </c>
      <c r="M12" s="7">
        <v>34</v>
      </c>
      <c r="N12" s="7">
        <v>508</v>
      </c>
    </row>
    <row r="13" spans="1:14">
      <c r="A13" s="7" t="s">
        <v>37</v>
      </c>
      <c r="B13" s="7" t="s">
        <v>38</v>
      </c>
      <c r="F13" s="7">
        <v>72</v>
      </c>
      <c r="G13" s="7">
        <v>7</v>
      </c>
      <c r="H13" s="7">
        <v>632</v>
      </c>
      <c r="I13" s="7">
        <v>2.46</v>
      </c>
      <c r="J13" s="7">
        <v>0.121</v>
      </c>
      <c r="K13" s="7">
        <v>0.20300000000000001</v>
      </c>
      <c r="L13" s="7">
        <v>13.39</v>
      </c>
      <c r="M13" s="7">
        <v>34</v>
      </c>
      <c r="N13" s="7">
        <v>508</v>
      </c>
    </row>
    <row r="14" spans="1:14">
      <c r="A14" s="8" t="s">
        <v>45</v>
      </c>
      <c r="B14" s="7" t="s">
        <v>39</v>
      </c>
    </row>
    <row r="15" spans="1:14">
      <c r="A15" s="7" t="s">
        <v>40</v>
      </c>
      <c r="B15" s="7" t="s">
        <v>41</v>
      </c>
    </row>
    <row r="16" spans="1:14">
      <c r="A16" s="7" t="s">
        <v>42</v>
      </c>
      <c r="B16" s="7" t="s">
        <v>43</v>
      </c>
      <c r="F16" s="245" t="s">
        <v>76</v>
      </c>
      <c r="G16" s="245"/>
      <c r="H16" s="245"/>
      <c r="I16" s="245"/>
      <c r="J16" s="245"/>
      <c r="K16" s="245"/>
      <c r="L16" s="245"/>
      <c r="M16" s="245"/>
      <c r="N16" s="245"/>
    </row>
    <row r="17" spans="1:14">
      <c r="A17" s="247" t="s">
        <v>44</v>
      </c>
      <c r="B17" s="247"/>
      <c r="F17" s="7" t="s">
        <v>46</v>
      </c>
      <c r="G17" s="7" t="s">
        <v>47</v>
      </c>
      <c r="H17" s="7" t="s">
        <v>48</v>
      </c>
      <c r="I17" s="7" t="s">
        <v>49</v>
      </c>
      <c r="J17" s="7" t="s">
        <v>50</v>
      </c>
      <c r="K17" s="7" t="s">
        <v>51</v>
      </c>
      <c r="L17" s="7" t="s">
        <v>52</v>
      </c>
      <c r="M17" s="7" t="s">
        <v>53</v>
      </c>
      <c r="N17" s="7" t="s">
        <v>54</v>
      </c>
    </row>
    <row r="18" spans="1:14">
      <c r="D18" s="13"/>
      <c r="F18" s="7" t="s">
        <v>55</v>
      </c>
      <c r="G18" s="7" t="s">
        <v>56</v>
      </c>
      <c r="H18" s="7" t="s">
        <v>57</v>
      </c>
      <c r="I18" s="7" t="s">
        <v>58</v>
      </c>
      <c r="J18" s="7" t="s">
        <v>59</v>
      </c>
      <c r="K18" s="7" t="s">
        <v>60</v>
      </c>
      <c r="L18" s="7" t="s">
        <v>61</v>
      </c>
      <c r="M18" s="7" t="s">
        <v>62</v>
      </c>
      <c r="N18" s="7" t="s">
        <v>63</v>
      </c>
    </row>
    <row r="19" spans="1:14">
      <c r="F19" s="7">
        <v>40</v>
      </c>
      <c r="G19" s="7">
        <v>2.04</v>
      </c>
      <c r="H19" s="7">
        <v>601.4</v>
      </c>
      <c r="I19" s="7">
        <v>2.34</v>
      </c>
      <c r="J19" s="7">
        <v>0.126</v>
      </c>
      <c r="K19" s="7">
        <v>0.246</v>
      </c>
      <c r="L19" s="7">
        <v>15.5</v>
      </c>
      <c r="M19" s="7">
        <v>34</v>
      </c>
      <c r="N19" s="7">
        <v>492</v>
      </c>
    </row>
    <row r="20" spans="1:14">
      <c r="A20" s="245" t="s">
        <v>10</v>
      </c>
      <c r="B20" s="245"/>
      <c r="F20" s="7">
        <v>45</v>
      </c>
      <c r="G20" s="7">
        <v>2.48</v>
      </c>
      <c r="H20" s="7">
        <v>604.9</v>
      </c>
      <c r="I20" s="7">
        <v>2.37</v>
      </c>
      <c r="J20" s="7">
        <v>0.125</v>
      </c>
      <c r="K20" s="7">
        <v>0.23499999999999999</v>
      </c>
      <c r="L20" s="7">
        <v>14.9</v>
      </c>
      <c r="M20" s="7">
        <v>34</v>
      </c>
      <c r="N20" s="7">
        <v>492</v>
      </c>
    </row>
    <row r="21" spans="1:14">
      <c r="A21" s="9" t="s">
        <v>11</v>
      </c>
      <c r="B21" s="10" t="s">
        <v>14</v>
      </c>
      <c r="F21" s="7">
        <v>50</v>
      </c>
      <c r="G21" s="7">
        <v>2.93</v>
      </c>
      <c r="H21" s="7">
        <v>608.29999999999995</v>
      </c>
      <c r="I21" s="7">
        <v>2.4</v>
      </c>
      <c r="J21" s="7">
        <v>0.124</v>
      </c>
      <c r="K21" s="7">
        <v>0.22500000000000001</v>
      </c>
      <c r="L21" s="7">
        <v>14.4</v>
      </c>
      <c r="M21" s="7">
        <v>34</v>
      </c>
      <c r="N21" s="7">
        <v>492</v>
      </c>
    </row>
    <row r="22" spans="1:14">
      <c r="A22" s="11" t="s">
        <v>12</v>
      </c>
      <c r="B22" s="12" t="s">
        <v>15</v>
      </c>
      <c r="F22" s="7">
        <v>55</v>
      </c>
      <c r="G22" s="7">
        <v>3.38</v>
      </c>
      <c r="H22" s="7">
        <v>611.70000000000005</v>
      </c>
      <c r="I22" s="7">
        <v>2.42</v>
      </c>
      <c r="J22" s="7">
        <v>0.123</v>
      </c>
      <c r="K22" s="7">
        <v>0.21299999999999999</v>
      </c>
      <c r="L22" s="7">
        <v>13.8</v>
      </c>
      <c r="M22" s="7">
        <v>34</v>
      </c>
      <c r="N22" s="7">
        <v>492</v>
      </c>
    </row>
    <row r="23" spans="1:14">
      <c r="A23" s="9" t="s">
        <v>13</v>
      </c>
      <c r="B23" s="10" t="s">
        <v>16</v>
      </c>
      <c r="F23" s="7">
        <v>60</v>
      </c>
      <c r="G23" s="7">
        <v>3.83</v>
      </c>
      <c r="H23" s="7">
        <v>615.1</v>
      </c>
      <c r="I23" s="7">
        <v>2.4500000000000002</v>
      </c>
      <c r="J23" s="7">
        <v>0.123</v>
      </c>
      <c r="K23" s="7">
        <v>0.20200000000000001</v>
      </c>
      <c r="L23" s="7">
        <v>13.3</v>
      </c>
      <c r="M23" s="7">
        <v>34</v>
      </c>
      <c r="N23" s="7">
        <v>492</v>
      </c>
    </row>
    <row r="24" spans="1:14">
      <c r="A24" s="11" t="s">
        <v>17</v>
      </c>
      <c r="B24" s="12">
        <v>6</v>
      </c>
      <c r="F24" s="7">
        <v>65</v>
      </c>
      <c r="G24" s="7">
        <v>4.2699999999999996</v>
      </c>
      <c r="H24" s="7">
        <v>618.5</v>
      </c>
      <c r="I24" s="7">
        <v>2.48</v>
      </c>
      <c r="J24" s="7">
        <v>0.122</v>
      </c>
      <c r="K24" s="7">
        <v>0.193</v>
      </c>
      <c r="L24" s="7">
        <v>12.8</v>
      </c>
      <c r="M24" s="7">
        <v>34</v>
      </c>
      <c r="N24" s="7">
        <v>492</v>
      </c>
    </row>
    <row r="25" spans="1:14">
      <c r="A25" s="9" t="s">
        <v>18</v>
      </c>
      <c r="B25" s="10" t="s">
        <v>19</v>
      </c>
      <c r="F25" s="7">
        <v>70</v>
      </c>
      <c r="G25" s="7">
        <v>4.72</v>
      </c>
      <c r="H25" s="7">
        <v>621.9</v>
      </c>
      <c r="I25" s="7">
        <v>2.5099999999999998</v>
      </c>
      <c r="J25" s="7">
        <v>0.121</v>
      </c>
      <c r="K25" s="7">
        <v>0.184</v>
      </c>
      <c r="L25" s="7">
        <v>12.3</v>
      </c>
      <c r="M25" s="7">
        <v>34</v>
      </c>
      <c r="N25" s="7">
        <v>492</v>
      </c>
    </row>
    <row r="26" spans="1:14">
      <c r="A26" s="11" t="s">
        <v>20</v>
      </c>
      <c r="B26" s="12" t="s">
        <v>21</v>
      </c>
      <c r="F26" s="7">
        <v>75</v>
      </c>
      <c r="G26" s="7">
        <v>5.16</v>
      </c>
      <c r="H26" s="7">
        <v>625.29999999999995</v>
      </c>
      <c r="I26" s="7">
        <v>2.54</v>
      </c>
      <c r="J26" s="7">
        <v>0.121</v>
      </c>
      <c r="K26" s="7">
        <v>0.17699999999999999</v>
      </c>
      <c r="L26" s="7">
        <v>11.8</v>
      </c>
      <c r="M26" s="7">
        <v>34</v>
      </c>
      <c r="N26" s="7">
        <v>492</v>
      </c>
    </row>
    <row r="27" spans="1:14">
      <c r="A27" s="9" t="s">
        <v>22</v>
      </c>
      <c r="B27" s="10" t="s">
        <v>23</v>
      </c>
      <c r="F27" s="7">
        <v>80</v>
      </c>
      <c r="G27" s="7">
        <v>5.62</v>
      </c>
      <c r="H27" s="7">
        <v>628.70000000000005</v>
      </c>
      <c r="I27" s="7">
        <v>2.57</v>
      </c>
      <c r="J27" s="7">
        <v>0.12</v>
      </c>
      <c r="K27" s="7">
        <v>0.17</v>
      </c>
      <c r="L27" s="7">
        <v>11.3</v>
      </c>
      <c r="M27" s="7">
        <v>34</v>
      </c>
      <c r="N27" s="7">
        <v>492</v>
      </c>
    </row>
    <row r="28" spans="1:14">
      <c r="A28" s="11" t="s">
        <v>24</v>
      </c>
      <c r="B28" s="12">
        <v>4</v>
      </c>
      <c r="F28" s="7">
        <v>84</v>
      </c>
      <c r="G28" s="7">
        <v>6</v>
      </c>
      <c r="H28" s="7">
        <v>632</v>
      </c>
      <c r="I28" s="7">
        <v>2.6</v>
      </c>
      <c r="J28" s="7">
        <v>0.11899999999999999</v>
      </c>
      <c r="K28" s="7">
        <v>0.16500000000000001</v>
      </c>
      <c r="L28" s="7">
        <v>10.9</v>
      </c>
      <c r="M28" s="7">
        <v>34</v>
      </c>
      <c r="N28" s="7">
        <v>492</v>
      </c>
    </row>
    <row r="29" spans="1:14">
      <c r="A29" s="9" t="s">
        <v>25</v>
      </c>
      <c r="B29" s="10" t="s">
        <v>26</v>
      </c>
    </row>
    <row r="30" spans="1:14">
      <c r="A30" s="11" t="s">
        <v>27</v>
      </c>
      <c r="B30" s="12" t="s">
        <v>28</v>
      </c>
    </row>
    <row r="33" spans="1:3">
      <c r="A33" s="246" t="s">
        <v>29</v>
      </c>
      <c r="B33" s="246"/>
    </row>
    <row r="34" spans="1:3">
      <c r="A34" s="2" t="s">
        <v>25</v>
      </c>
      <c r="B34" s="3" t="s">
        <v>26</v>
      </c>
      <c r="C34" s="8"/>
    </row>
    <row r="35" spans="1:3">
      <c r="A35" s="4" t="s">
        <v>30</v>
      </c>
      <c r="B35" s="5" t="s">
        <v>31</v>
      </c>
    </row>
    <row r="36" spans="1:3">
      <c r="A36" s="2" t="s">
        <v>13</v>
      </c>
      <c r="B36" s="3" t="s">
        <v>16</v>
      </c>
    </row>
    <row r="37" spans="1:3" ht="28">
      <c r="A37" s="6" t="s">
        <v>32</v>
      </c>
      <c r="B37" s="5" t="s">
        <v>33</v>
      </c>
    </row>
  </sheetData>
  <mergeCells count="7">
    <mergeCell ref="F16:N16"/>
    <mergeCell ref="A33:B33"/>
    <mergeCell ref="A1:C1"/>
    <mergeCell ref="A20:B20"/>
    <mergeCell ref="A11:B11"/>
    <mergeCell ref="A17:B17"/>
    <mergeCell ref="F1:N1"/>
  </mergeCells>
  <pageMargins left="0.7" right="0.7" top="0.75" bottom="0.75" header="0.3" footer="0.3"/>
  <pageSetup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86F05-79CF-4C6D-87F6-B16D906EE379}">
  <sheetPr codeName="Sheet2"/>
  <dimension ref="A1:J32"/>
  <sheetViews>
    <sheetView showGridLines="0" zoomScale="40" zoomScaleNormal="40" workbookViewId="0">
      <selection activeCell="F1" sqref="F1:J32"/>
    </sheetView>
  </sheetViews>
  <sheetFormatPr defaultRowHeight="14"/>
  <cols>
    <col min="1" max="1" width="24.54296875" style="1" bestFit="1" customWidth="1"/>
    <col min="2" max="2" width="25.36328125" style="1" bestFit="1" customWidth="1"/>
    <col min="3" max="3" width="25.6328125" style="1" bestFit="1" customWidth="1"/>
    <col min="4" max="5" width="8.7265625" style="1"/>
    <col min="6" max="6" width="10.81640625" style="1" bestFit="1" customWidth="1"/>
    <col min="7" max="7" width="9.90625" style="1" bestFit="1" customWidth="1"/>
    <col min="8" max="8" width="14.7265625" style="1" customWidth="1"/>
    <col min="9" max="9" width="17" style="1" bestFit="1" customWidth="1"/>
    <col min="10" max="10" width="14.54296875" style="1" bestFit="1" customWidth="1"/>
    <col min="11" max="11" width="12.90625" style="1" bestFit="1" customWidth="1"/>
    <col min="12" max="12" width="10.81640625" style="1" customWidth="1"/>
    <col min="13" max="16384" width="8.7265625" style="1"/>
  </cols>
  <sheetData>
    <row r="1" spans="1:10">
      <c r="A1" s="248" t="s">
        <v>77</v>
      </c>
      <c r="B1" s="248"/>
      <c r="F1" s="252" t="s">
        <v>346</v>
      </c>
      <c r="G1" s="252"/>
      <c r="H1" s="252"/>
      <c r="I1" s="250" t="s">
        <v>80</v>
      </c>
      <c r="J1" s="251"/>
    </row>
    <row r="2" spans="1:10">
      <c r="A2" s="21" t="s">
        <v>11</v>
      </c>
      <c r="B2" s="23">
        <v>1.9050000000000001E-2</v>
      </c>
      <c r="F2" s="26" t="s">
        <v>65</v>
      </c>
      <c r="G2" s="27" t="s">
        <v>71</v>
      </c>
      <c r="H2" s="28">
        <f>(B7-B2)*((B16*J6)/B7)</f>
        <v>6.2499999999999979E-2</v>
      </c>
      <c r="I2" s="32" t="s">
        <v>91</v>
      </c>
      <c r="J2" s="37">
        <f>(C25+C26)/2</f>
        <v>87</v>
      </c>
    </row>
    <row r="3" spans="1:10">
      <c r="A3" s="22" t="s">
        <v>12</v>
      </c>
      <c r="B3" s="24">
        <v>2.1099999999999999E-3</v>
      </c>
      <c r="F3" s="29" t="s">
        <v>66</v>
      </c>
      <c r="G3" s="30" t="s">
        <v>72</v>
      </c>
      <c r="H3" s="31">
        <f>(B23/3600)/H2</f>
        <v>587.9822222222225</v>
      </c>
      <c r="I3" s="32" t="s">
        <v>92</v>
      </c>
      <c r="J3" s="37">
        <f>(B25+B26)/2</f>
        <v>62</v>
      </c>
    </row>
    <row r="4" spans="1:10">
      <c r="A4" s="21" t="s">
        <v>13</v>
      </c>
      <c r="B4" s="23" t="s">
        <v>16</v>
      </c>
      <c r="F4" s="26" t="s">
        <v>67</v>
      </c>
      <c r="G4" s="27" t="s">
        <v>73</v>
      </c>
      <c r="H4" s="28">
        <f>H3/J11</f>
        <v>0.95373843066066954</v>
      </c>
      <c r="I4" s="32" t="s">
        <v>96</v>
      </c>
      <c r="J4" s="37">
        <f>(-0.0013*J2 + 0.2943)/1000</f>
        <v>1.8120000000000004E-4</v>
      </c>
    </row>
    <row r="5" spans="1:10">
      <c r="A5" s="22" t="s">
        <v>17</v>
      </c>
      <c r="B5" s="24">
        <v>6</v>
      </c>
      <c r="F5" s="29" t="s">
        <v>68</v>
      </c>
      <c r="G5" s="30" t="s">
        <v>74</v>
      </c>
      <c r="H5" s="31">
        <f>(1.1/B2)*(B7^2-0.917*B2^2)</f>
        <v>1.8037598333333328E-2</v>
      </c>
      <c r="I5" s="32" t="s">
        <v>97</v>
      </c>
      <c r="J5" s="37">
        <f>( -0.0019*J3 + 0.3174)/1000</f>
        <v>1.996E-4</v>
      </c>
    </row>
    <row r="6" spans="1:10">
      <c r="A6" s="21" t="s">
        <v>18</v>
      </c>
      <c r="B6" s="23" t="s">
        <v>19</v>
      </c>
      <c r="F6" s="26" t="s">
        <v>69</v>
      </c>
      <c r="G6" s="27"/>
      <c r="H6" s="28">
        <f>H3*H5/J5</f>
        <v>53135.206170266465</v>
      </c>
      <c r="I6" s="38" t="s">
        <v>78</v>
      </c>
      <c r="J6" s="37">
        <v>0.25</v>
      </c>
    </row>
    <row r="7" spans="1:10">
      <c r="A7" s="22" t="s">
        <v>20</v>
      </c>
      <c r="B7" s="24">
        <v>2.5399999999999999E-2</v>
      </c>
      <c r="F7" s="32" t="s">
        <v>89</v>
      </c>
      <c r="G7" s="30"/>
      <c r="H7" s="33">
        <f>((C23/3600)*4/((H22/4)*3.14*J4*(B2-2*B3)))</f>
        <v>66225.454725260584</v>
      </c>
      <c r="I7" s="38" t="s">
        <v>93</v>
      </c>
      <c r="J7" s="37">
        <f>(0.0058*J3+2)*1000</f>
        <v>2359.6</v>
      </c>
    </row>
    <row r="8" spans="1:10">
      <c r="A8" s="21" t="s">
        <v>22</v>
      </c>
      <c r="B8" s="23" t="s">
        <v>23</v>
      </c>
      <c r="C8" s="20"/>
      <c r="D8" s="20"/>
      <c r="E8" s="20"/>
      <c r="F8" s="29" t="s">
        <v>100</v>
      </c>
      <c r="G8" s="30"/>
      <c r="H8" s="31">
        <f>J7*J5/J9</f>
        <v>3.7557907496012763</v>
      </c>
      <c r="I8" s="38" t="s">
        <v>94</v>
      </c>
      <c r="J8" s="39">
        <f>(0.0061*J2+2.0215)*1000</f>
        <v>2552.1999999999998</v>
      </c>
    </row>
    <row r="9" spans="1:10">
      <c r="A9" s="22" t="s">
        <v>24</v>
      </c>
      <c r="B9" s="24">
        <v>4</v>
      </c>
      <c r="C9" s="20"/>
      <c r="D9" s="20"/>
      <c r="E9" s="20"/>
      <c r="F9" s="32" t="s">
        <v>101</v>
      </c>
      <c r="G9" s="30"/>
      <c r="H9" s="33">
        <f>J8*J4/J10</f>
        <v>3.7567720552396433</v>
      </c>
      <c r="I9" s="38" t="s">
        <v>95</v>
      </c>
      <c r="J9" s="37">
        <f xml:space="preserve"> -0.0001*J3 + 0.1316</f>
        <v>0.12539999999999998</v>
      </c>
    </row>
    <row r="10" spans="1:10">
      <c r="A10" s="21" t="s">
        <v>25</v>
      </c>
      <c r="B10" s="23" t="s">
        <v>26</v>
      </c>
      <c r="C10" s="20"/>
      <c r="D10" s="20"/>
      <c r="E10" s="20"/>
      <c r="F10" s="26" t="s">
        <v>70</v>
      </c>
      <c r="G10" s="27"/>
      <c r="H10" s="28">
        <v>2.8000000000000001E-2</v>
      </c>
      <c r="I10" s="38" t="s">
        <v>102</v>
      </c>
      <c r="J10" s="39">
        <f xml:space="preserve"> -0.0001*J2 + 0.1318</f>
        <v>0.1231</v>
      </c>
    </row>
    <row r="11" spans="1:10">
      <c r="A11" s="22"/>
      <c r="B11" s="24"/>
      <c r="C11" s="20"/>
      <c r="D11" s="20"/>
      <c r="E11" s="20"/>
      <c r="F11" s="26"/>
      <c r="G11" s="27"/>
      <c r="H11" s="28"/>
      <c r="I11" s="38" t="s">
        <v>98</v>
      </c>
      <c r="J11" s="39">
        <f xml:space="preserve"> 0.6873*J3 + 573.89</f>
        <v>616.50260000000003</v>
      </c>
    </row>
    <row r="12" spans="1:10">
      <c r="C12" s="20"/>
      <c r="D12" s="20"/>
      <c r="E12" s="20"/>
      <c r="F12" s="26" t="s">
        <v>231</v>
      </c>
      <c r="G12" s="27" t="s">
        <v>75</v>
      </c>
      <c r="H12" s="28">
        <v>45</v>
      </c>
      <c r="I12" s="38" t="s">
        <v>99</v>
      </c>
      <c r="J12" s="39">
        <f xml:space="preserve"> -1.0303*J2 + 706.62</f>
        <v>616.98389999999995</v>
      </c>
    </row>
    <row r="13" spans="1:10">
      <c r="C13" s="20"/>
      <c r="D13" s="20"/>
      <c r="F13" s="32" t="s">
        <v>81</v>
      </c>
      <c r="G13" s="30" t="s">
        <v>335</v>
      </c>
      <c r="H13" s="33">
        <f>((C26-B25)-(C25-B26))/LN((C26-B25)/(C25-B26))</f>
        <v>24.332416477475451</v>
      </c>
      <c r="I13" s="38" t="s">
        <v>245</v>
      </c>
      <c r="J13" s="37">
        <v>0.15</v>
      </c>
    </row>
    <row r="14" spans="1:10" ht="14.5" customHeight="1">
      <c r="A14" s="249" t="s">
        <v>79</v>
      </c>
      <c r="B14" s="249"/>
      <c r="C14" s="20"/>
      <c r="D14" s="20"/>
      <c r="F14" s="26"/>
      <c r="G14" s="27"/>
      <c r="H14" s="28"/>
      <c r="I14" s="253"/>
      <c r="J14" s="253"/>
    </row>
    <row r="15" spans="1:10">
      <c r="A15" s="21" t="s">
        <v>25</v>
      </c>
      <c r="B15" s="23" t="s">
        <v>26</v>
      </c>
      <c r="C15" s="20"/>
      <c r="D15" s="20"/>
      <c r="F15" s="32" t="s">
        <v>82</v>
      </c>
      <c r="G15" s="30" t="s">
        <v>83</v>
      </c>
      <c r="H15" s="33">
        <f>((C23/3600)*(C25-C26)*J8)</f>
        <v>4099322.3716666661</v>
      </c>
      <c r="I15" s="254"/>
      <c r="J15" s="254"/>
    </row>
    <row r="16" spans="1:10">
      <c r="A16" s="22" t="s">
        <v>30</v>
      </c>
      <c r="B16" s="24">
        <v>1</v>
      </c>
      <c r="C16" s="20"/>
      <c r="D16" s="20"/>
      <c r="F16" s="32" t="s">
        <v>84</v>
      </c>
      <c r="G16" s="30"/>
      <c r="H16" s="33">
        <v>2</v>
      </c>
    </row>
    <row r="17" spans="1:8">
      <c r="A17" s="21" t="s">
        <v>13</v>
      </c>
      <c r="B17" s="23" t="s">
        <v>16</v>
      </c>
      <c r="C17" s="20"/>
      <c r="D17" s="20"/>
      <c r="F17" s="32" t="s">
        <v>85</v>
      </c>
      <c r="G17" s="30"/>
      <c r="H17" s="33">
        <v>4</v>
      </c>
    </row>
    <row r="18" spans="1:8" ht="28">
      <c r="A18" s="25" t="s">
        <v>32</v>
      </c>
      <c r="B18" s="24" t="s">
        <v>33</v>
      </c>
      <c r="F18" s="32" t="s">
        <v>86</v>
      </c>
      <c r="G18" s="30"/>
      <c r="H18" s="33">
        <v>0.9</v>
      </c>
    </row>
    <row r="19" spans="1:8">
      <c r="F19" s="32" t="s">
        <v>106</v>
      </c>
      <c r="G19" s="27" t="s">
        <v>75</v>
      </c>
      <c r="H19" s="33">
        <v>467.76414983806615</v>
      </c>
    </row>
    <row r="20" spans="1:8">
      <c r="F20" s="32" t="s">
        <v>87</v>
      </c>
      <c r="G20" s="30" t="s">
        <v>71</v>
      </c>
      <c r="H20" s="33">
        <f>(H15/(H26*H13*H18))*1.1</f>
        <v>440.2006240822144</v>
      </c>
    </row>
    <row r="21" spans="1:8">
      <c r="A21" s="248" t="s">
        <v>3</v>
      </c>
      <c r="B21" s="248"/>
      <c r="C21" s="248"/>
      <c r="F21" s="32" t="s">
        <v>103</v>
      </c>
      <c r="G21" s="30" t="s">
        <v>74</v>
      </c>
      <c r="H21" s="33">
        <v>4.8</v>
      </c>
    </row>
    <row r="22" spans="1:8">
      <c r="A22" s="1" t="s">
        <v>0</v>
      </c>
      <c r="B22" s="1" t="s">
        <v>1</v>
      </c>
      <c r="C22" s="1" t="s">
        <v>2</v>
      </c>
      <c r="F22" s="32" t="s">
        <v>88</v>
      </c>
      <c r="G22" s="30"/>
      <c r="H22" s="33">
        <f>INT(H20/(3.14*B2*H21))</f>
        <v>1533</v>
      </c>
    </row>
    <row r="23" spans="1:8">
      <c r="A23" s="1" t="s">
        <v>4</v>
      </c>
      <c r="B23" s="1">
        <v>132296</v>
      </c>
      <c r="C23" s="1">
        <v>192743</v>
      </c>
      <c r="F23" s="32" t="s">
        <v>113</v>
      </c>
      <c r="G23" s="30"/>
      <c r="H23" s="33">
        <v>4.4999999999999998E-2</v>
      </c>
    </row>
    <row r="24" spans="1:8">
      <c r="A24" s="1" t="s">
        <v>5</v>
      </c>
      <c r="B24" s="1">
        <v>5.5</v>
      </c>
      <c r="C24" s="1">
        <v>14</v>
      </c>
      <c r="F24" s="32" t="s">
        <v>90</v>
      </c>
      <c r="G24" s="27" t="s">
        <v>75</v>
      </c>
      <c r="H24" s="33">
        <v>916.26956093209253</v>
      </c>
    </row>
    <row r="25" spans="1:8">
      <c r="A25" s="1" t="s">
        <v>9</v>
      </c>
      <c r="B25" s="1">
        <v>40</v>
      </c>
      <c r="C25" s="1">
        <v>102</v>
      </c>
      <c r="F25" s="32" t="s">
        <v>104</v>
      </c>
      <c r="G25" s="27" t="s">
        <v>75</v>
      </c>
      <c r="H25" s="33">
        <v>6139.331792097365</v>
      </c>
    </row>
    <row r="26" spans="1:8">
      <c r="A26" s="1" t="s">
        <v>8</v>
      </c>
      <c r="B26" s="1">
        <v>84</v>
      </c>
      <c r="C26" s="1">
        <v>72</v>
      </c>
      <c r="F26" s="32" t="s">
        <v>105</v>
      </c>
      <c r="G26" s="27" t="s">
        <v>75</v>
      </c>
      <c r="H26" s="33">
        <f>((H25^(-1))+C28*2+(LN(B2/(B2-2*B3))*B2)/(2*45)+(B2/(H24*(B2-2*B3))))^(-1)</f>
        <v>467.76352450461616</v>
      </c>
    </row>
    <row r="27" spans="1:8">
      <c r="A27" s="1" t="s">
        <v>6</v>
      </c>
      <c r="B27" s="1">
        <v>0.69</v>
      </c>
      <c r="C27" s="1">
        <v>1.03</v>
      </c>
      <c r="F27" s="32" t="s">
        <v>107</v>
      </c>
      <c r="G27" s="30" t="s">
        <v>335</v>
      </c>
      <c r="H27" s="33">
        <f>J2+((J3-J2)/(1+H24/H25))</f>
        <v>65.246603354860298</v>
      </c>
    </row>
    <row r="28" spans="1:8">
      <c r="A28" s="1" t="s">
        <v>7</v>
      </c>
      <c r="B28" s="1">
        <v>2.5999999999999998E-4</v>
      </c>
      <c r="C28" s="1">
        <v>2.5999999999999998E-4</v>
      </c>
      <c r="F28" s="32" t="s">
        <v>110</v>
      </c>
      <c r="G28" s="30" t="s">
        <v>431</v>
      </c>
      <c r="H28" s="33">
        <v>30096.103625792093</v>
      </c>
    </row>
    <row r="29" spans="1:8">
      <c r="F29" s="32" t="s">
        <v>108</v>
      </c>
      <c r="G29" s="30"/>
      <c r="H29" s="33">
        <v>0.05</v>
      </c>
    </row>
    <row r="30" spans="1:8">
      <c r="F30" s="32" t="s">
        <v>109</v>
      </c>
      <c r="G30" s="30"/>
      <c r="H30" s="33">
        <v>33.702512298830584</v>
      </c>
    </row>
    <row r="31" spans="1:8">
      <c r="F31" s="32" t="s">
        <v>111</v>
      </c>
      <c r="G31" s="30" t="s">
        <v>431</v>
      </c>
      <c r="H31" s="33">
        <v>4619.9416744941236</v>
      </c>
    </row>
    <row r="32" spans="1:8">
      <c r="F32" s="34" t="s">
        <v>112</v>
      </c>
      <c r="G32" s="35" t="s">
        <v>73</v>
      </c>
      <c r="H32" s="36">
        <f>(C23*4)/(3600*(H22/4)*3.14*(B2-2*B3)^2*J12)</f>
        <v>1.3114995922228647</v>
      </c>
    </row>
  </sheetData>
  <mergeCells count="6">
    <mergeCell ref="A1:B1"/>
    <mergeCell ref="A14:B14"/>
    <mergeCell ref="A21:C21"/>
    <mergeCell ref="I1:J1"/>
    <mergeCell ref="F1:H1"/>
    <mergeCell ref="I14:J15"/>
  </mergeCell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F5B78-12E7-4664-B1D1-1D416866C3FD}">
  <sheetPr codeName="Sheet3"/>
  <dimension ref="A1:P125"/>
  <sheetViews>
    <sheetView showGridLines="0" tabSelected="1" topLeftCell="K110" zoomScale="145" zoomScaleNormal="145" workbookViewId="0">
      <selection activeCell="N114" sqref="N114"/>
    </sheetView>
  </sheetViews>
  <sheetFormatPr defaultRowHeight="14.5"/>
  <cols>
    <col min="1" max="1" width="24.54296875" style="1" bestFit="1" customWidth="1"/>
    <col min="2" max="2" width="25.36328125" style="1" bestFit="1" customWidth="1"/>
    <col min="3" max="3" width="25.6328125" style="1" bestFit="1" customWidth="1"/>
    <col min="4" max="5" width="8.7265625" style="1"/>
    <col min="6" max="6" width="10.81640625" style="1" bestFit="1" customWidth="1"/>
    <col min="7" max="7" width="9.90625" style="1" bestFit="1" customWidth="1"/>
    <col min="8" max="8" width="14.7265625" style="1" customWidth="1"/>
    <col min="9" max="9" width="17" style="1" bestFit="1" customWidth="1"/>
    <col min="10" max="10" width="14.54296875" style="1" bestFit="1" customWidth="1"/>
    <col min="11" max="11" width="12.90625" style="1" bestFit="1" customWidth="1"/>
    <col min="12" max="12" width="10.81640625" style="1" customWidth="1"/>
    <col min="13" max="13" width="23.36328125" style="1" bestFit="1" customWidth="1"/>
    <col min="14" max="14" width="12.6328125" style="19" customWidth="1"/>
    <col min="15" max="15" width="8.90625" style="1" customWidth="1"/>
    <col min="16" max="16384" width="8.7265625" style="1"/>
  </cols>
  <sheetData>
    <row r="1" spans="1:15" ht="26" customHeight="1">
      <c r="A1" s="259" t="s">
        <v>77</v>
      </c>
      <c r="B1" s="259"/>
      <c r="F1" s="252" t="s">
        <v>346</v>
      </c>
      <c r="G1" s="252"/>
      <c r="H1" s="252"/>
      <c r="I1" s="250" t="s">
        <v>80</v>
      </c>
      <c r="J1" s="251"/>
      <c r="M1" s="255" t="s">
        <v>232</v>
      </c>
      <c r="N1" s="256"/>
      <c r="O1" s="1">
        <v>7</v>
      </c>
    </row>
    <row r="2" spans="1:15" ht="14">
      <c r="A2" s="14" t="s">
        <v>11</v>
      </c>
      <c r="B2" s="16">
        <v>1.9050000000000001E-2</v>
      </c>
      <c r="F2" s="26" t="s">
        <v>65</v>
      </c>
      <c r="G2" s="27" t="s">
        <v>71</v>
      </c>
      <c r="H2" s="28">
        <f>(B7-B2)*((B16*J6)/B7)</f>
        <v>6.1874999999999979E-2</v>
      </c>
      <c r="I2" s="32" t="s">
        <v>91</v>
      </c>
      <c r="J2" s="37">
        <f>(C25+C26)/2</f>
        <v>87</v>
      </c>
      <c r="M2" s="257"/>
      <c r="N2" s="258"/>
    </row>
    <row r="3" spans="1:15" ht="14.5" customHeight="1">
      <c r="A3" s="15" t="s">
        <v>12</v>
      </c>
      <c r="B3" s="17">
        <v>2.1099999999999999E-3</v>
      </c>
      <c r="F3" s="29" t="s">
        <v>66</v>
      </c>
      <c r="G3" s="30" t="s">
        <v>72</v>
      </c>
      <c r="H3" s="31">
        <f>(B23/3600)/H2</f>
        <v>593.92143658810346</v>
      </c>
      <c r="I3" s="32" t="s">
        <v>92</v>
      </c>
      <c r="J3" s="37">
        <f>(B25+B26)/2</f>
        <v>62</v>
      </c>
      <c r="M3" s="257"/>
      <c r="N3" s="258"/>
    </row>
    <row r="4" spans="1:15">
      <c r="A4" s="14" t="s">
        <v>13</v>
      </c>
      <c r="B4" s="16" t="s">
        <v>16</v>
      </c>
      <c r="F4" s="26" t="s">
        <v>67</v>
      </c>
      <c r="G4" s="27" t="s">
        <v>73</v>
      </c>
      <c r="H4" s="28">
        <f>H3/J11</f>
        <v>0.96337215218249439</v>
      </c>
      <c r="I4" s="32" t="s">
        <v>96</v>
      </c>
      <c r="J4" s="37">
        <f>(-0.0013*J2 + 0.2943)/1000</f>
        <v>1.8120000000000004E-4</v>
      </c>
      <c r="M4" s="40" t="s">
        <v>233</v>
      </c>
      <c r="N4" s="41">
        <v>40</v>
      </c>
    </row>
    <row r="5" spans="1:15">
      <c r="A5" s="15" t="s">
        <v>17</v>
      </c>
      <c r="B5" s="17">
        <v>6</v>
      </c>
      <c r="F5" s="29" t="s">
        <v>68</v>
      </c>
      <c r="G5" s="30" t="s">
        <v>74</v>
      </c>
      <c r="H5" s="31">
        <f>(1.1/B2)*(B7^2-0.917*B2^2)</f>
        <v>1.8037598333333328E-2</v>
      </c>
      <c r="I5" s="32" t="s">
        <v>97</v>
      </c>
      <c r="J5" s="37">
        <f>( -0.0019*J3 + 0.3174)/1000</f>
        <v>1.996E-4</v>
      </c>
      <c r="M5" s="40" t="s">
        <v>234</v>
      </c>
      <c r="N5" s="41">
        <v>84</v>
      </c>
    </row>
    <row r="6" spans="1:15">
      <c r="A6" s="14" t="s">
        <v>18</v>
      </c>
      <c r="B6" s="16" t="s">
        <v>19</v>
      </c>
      <c r="F6" s="26" t="s">
        <v>69</v>
      </c>
      <c r="G6" s="27"/>
      <c r="H6" s="28">
        <f>H3*H5/J5</f>
        <v>53671.925424511574</v>
      </c>
      <c r="I6" s="38" t="s">
        <v>78</v>
      </c>
      <c r="J6" s="37">
        <v>0.25</v>
      </c>
      <c r="M6" s="40" t="s">
        <v>235</v>
      </c>
      <c r="N6" s="41">
        <v>102</v>
      </c>
    </row>
    <row r="7" spans="1:15">
      <c r="A7" s="15" t="s">
        <v>20</v>
      </c>
      <c r="B7" s="17">
        <v>2.5399999999999999E-2</v>
      </c>
      <c r="F7" s="32" t="s">
        <v>89</v>
      </c>
      <c r="G7" s="30"/>
      <c r="H7" s="33">
        <f>((C23/3600)*4/((H22/4)*3.14*J4*(B2-2*B3)))</f>
        <v>66225.454725260584</v>
      </c>
      <c r="I7" s="38" t="s">
        <v>93</v>
      </c>
      <c r="J7" s="37">
        <f>(0.0058*J3+2)*1000</f>
        <v>2359.6</v>
      </c>
      <c r="M7" s="40" t="s">
        <v>236</v>
      </c>
      <c r="N7" s="41">
        <v>72</v>
      </c>
    </row>
    <row r="8" spans="1:15">
      <c r="A8" s="14" t="s">
        <v>22</v>
      </c>
      <c r="B8" s="16" t="s">
        <v>23</v>
      </c>
      <c r="F8" s="29" t="s">
        <v>100</v>
      </c>
      <c r="G8" s="30"/>
      <c r="H8" s="31">
        <f>J7*J5/J9</f>
        <v>3.7557907496012763</v>
      </c>
      <c r="I8" s="38" t="s">
        <v>94</v>
      </c>
      <c r="J8" s="39">
        <f>(0.0061*J2+2.0215)*1000</f>
        <v>2552.1999999999998</v>
      </c>
      <c r="M8" s="40" t="s">
        <v>81</v>
      </c>
      <c r="N8" s="41">
        <f>((N7-N4)-(N6-N5))/LN((N7-N4)/(N6-N5))</f>
        <v>24.332416477475451</v>
      </c>
    </row>
    <row r="9" spans="1:15">
      <c r="A9" s="15" t="s">
        <v>24</v>
      </c>
      <c r="B9" s="17">
        <v>4</v>
      </c>
      <c r="F9" s="32" t="s">
        <v>101</v>
      </c>
      <c r="G9" s="30"/>
      <c r="H9" s="33">
        <f>J8*J4/J10</f>
        <v>3.7567720552396433</v>
      </c>
      <c r="I9" s="38" t="s">
        <v>95</v>
      </c>
      <c r="J9" s="37">
        <f xml:space="preserve"> -0.0001*J3 + 0.1316</f>
        <v>0.12539999999999998</v>
      </c>
      <c r="M9" s="40" t="s">
        <v>82</v>
      </c>
      <c r="N9" s="41">
        <f>(B23 / 3600)*J7*(B26-B25)</f>
        <v>3815357.8417777778</v>
      </c>
    </row>
    <row r="10" spans="1:15">
      <c r="A10" s="14" t="s">
        <v>25</v>
      </c>
      <c r="B10" s="16" t="s">
        <v>26</v>
      </c>
      <c r="F10" s="26" t="s">
        <v>70</v>
      </c>
      <c r="G10" s="27"/>
      <c r="H10" s="28">
        <v>2.8000000000000001E-2</v>
      </c>
      <c r="I10" s="38" t="s">
        <v>102</v>
      </c>
      <c r="J10" s="39">
        <f xml:space="preserve"> -0.0001*J2 + 0.1318</f>
        <v>0.1231</v>
      </c>
      <c r="M10" s="40" t="s">
        <v>86</v>
      </c>
      <c r="N10" s="41">
        <f>(((SQRT((N101 ^ 2) + 1))/(2*(N101-1))) * LN((1 - N100) / (1 - (N100 * N101)))) / (LN((2 /N100) -1-N101+(2/ N100 )*SQRT((1-N100)*(1-N100*N101)) + SQRT(N101 ^ 2 + 1)) / ((2/N100)-1 - N101 +(2/ N100 )*SQRT((1-N100)*(1-N100*N101)) - SQRT(N101 ^ 2 + 1)))</f>
        <v>1.008915189046268</v>
      </c>
    </row>
    <row r="11" spans="1:15">
      <c r="F11" s="26"/>
      <c r="G11" s="27"/>
      <c r="H11" s="28"/>
      <c r="I11" s="38" t="s">
        <v>98</v>
      </c>
      <c r="J11" s="39">
        <f xml:space="preserve"> 0.6873*J3 + 573.89</f>
        <v>616.50260000000003</v>
      </c>
      <c r="M11" s="40" t="s">
        <v>237</v>
      </c>
      <c r="N11" s="41">
        <f>H26</f>
        <v>467.76352450461616</v>
      </c>
    </row>
    <row r="12" spans="1:15">
      <c r="F12" s="26" t="s">
        <v>231</v>
      </c>
      <c r="G12" s="27" t="s">
        <v>75</v>
      </c>
      <c r="H12" s="28">
        <v>45</v>
      </c>
      <c r="I12" s="38" t="s">
        <v>99</v>
      </c>
      <c r="J12" s="39">
        <f xml:space="preserve"> -1.0303*J2 + 706.62</f>
        <v>616.98389999999995</v>
      </c>
      <c r="M12" s="40" t="s">
        <v>238</v>
      </c>
      <c r="N12" s="41">
        <f>N9/(N11*N10*N8)</f>
        <v>332.25308479148589</v>
      </c>
    </row>
    <row r="13" spans="1:15">
      <c r="F13" s="32" t="s">
        <v>81</v>
      </c>
      <c r="G13" s="30" t="s">
        <v>335</v>
      </c>
      <c r="H13" s="33">
        <f>((C26-B25)-(C25-B26))/LN((C26-B25)/(C25-B26))</f>
        <v>24.332416477475451</v>
      </c>
      <c r="I13" s="38" t="s">
        <v>245</v>
      </c>
      <c r="J13" s="37">
        <v>0.15</v>
      </c>
      <c r="M13" s="40" t="s">
        <v>239</v>
      </c>
      <c r="N13" s="41">
        <v>4.88</v>
      </c>
    </row>
    <row r="14" spans="1:15">
      <c r="A14" s="259" t="s">
        <v>79</v>
      </c>
      <c r="B14" s="259"/>
      <c r="F14" s="26"/>
      <c r="G14" s="27"/>
      <c r="H14" s="28"/>
      <c r="I14" s="253"/>
      <c r="J14" s="253"/>
      <c r="M14" s="40" t="s">
        <v>88</v>
      </c>
      <c r="N14" s="41">
        <f>ROUND(N12/(B2*N13*3.14),0.5)</f>
        <v>1138</v>
      </c>
    </row>
    <row r="15" spans="1:15">
      <c r="A15" s="14" t="s">
        <v>25</v>
      </c>
      <c r="B15" s="16" t="s">
        <v>26</v>
      </c>
      <c r="F15" s="32" t="s">
        <v>82</v>
      </c>
      <c r="G15" s="30" t="s">
        <v>83</v>
      </c>
      <c r="H15" s="33">
        <f>((C23/3600)*(C25-C26)*J8)</f>
        <v>4099322.3716666661</v>
      </c>
      <c r="I15" s="254"/>
      <c r="J15" s="254"/>
      <c r="M15" s="40" t="s">
        <v>240</v>
      </c>
      <c r="N15" s="41">
        <v>2.5399999999999999E-2</v>
      </c>
    </row>
    <row r="16" spans="1:15">
      <c r="A16" s="15" t="s">
        <v>30</v>
      </c>
      <c r="B16" s="17">
        <v>0.99</v>
      </c>
      <c r="F16" s="32" t="s">
        <v>84</v>
      </c>
      <c r="G16" s="30"/>
      <c r="H16" s="33">
        <v>2</v>
      </c>
      <c r="M16" s="40" t="s">
        <v>241</v>
      </c>
      <c r="N16" s="41">
        <f>SQRT(N14*0.86*N15^2/0.78)</f>
        <v>0.89971875149675062</v>
      </c>
    </row>
    <row r="17" spans="1:14">
      <c r="A17" s="14"/>
      <c r="B17" s="16" t="s">
        <v>16</v>
      </c>
      <c r="F17" s="32" t="s">
        <v>85</v>
      </c>
      <c r="G17" s="30"/>
      <c r="H17" s="33">
        <v>4</v>
      </c>
      <c r="M17" s="40" t="s">
        <v>242</v>
      </c>
      <c r="N17" s="41">
        <f>N16+B2</f>
        <v>0.91876875149675064</v>
      </c>
    </row>
    <row r="18" spans="1:14" ht="28">
      <c r="A18" s="18" t="s">
        <v>32</v>
      </c>
      <c r="B18" s="17" t="s">
        <v>33</v>
      </c>
      <c r="F18" s="32" t="s">
        <v>86</v>
      </c>
      <c r="G18" s="30"/>
      <c r="H18" s="33">
        <v>0.9</v>
      </c>
      <c r="M18" s="40" t="s">
        <v>243</v>
      </c>
      <c r="N18" s="41">
        <f>0.07</f>
        <v>7.0000000000000007E-2</v>
      </c>
    </row>
    <row r="19" spans="1:14">
      <c r="F19" s="32" t="s">
        <v>106</v>
      </c>
      <c r="G19" s="27" t="s">
        <v>75</v>
      </c>
      <c r="H19" s="33">
        <v>467.76414983806615</v>
      </c>
      <c r="M19" s="40" t="s">
        <v>244</v>
      </c>
      <c r="N19" s="41">
        <f>N17+N18</f>
        <v>0.9887687514967507</v>
      </c>
    </row>
    <row r="20" spans="1:14">
      <c r="F20" s="32" t="s">
        <v>87</v>
      </c>
      <c r="G20" s="30" t="s">
        <v>71</v>
      </c>
      <c r="H20" s="33">
        <f>(H15/(H26*H13*H18))*1.1</f>
        <v>440.2006240822144</v>
      </c>
      <c r="M20" s="40" t="s">
        <v>245</v>
      </c>
      <c r="N20" s="41">
        <v>0.15</v>
      </c>
    </row>
    <row r="21" spans="1:14">
      <c r="A21" s="259" t="s">
        <v>3</v>
      </c>
      <c r="B21" s="259"/>
      <c r="C21" s="259"/>
      <c r="F21" s="32" t="s">
        <v>103</v>
      </c>
      <c r="G21" s="30" t="s">
        <v>74</v>
      </c>
      <c r="H21" s="33">
        <v>4.8</v>
      </c>
      <c r="M21" s="40" t="s">
        <v>246</v>
      </c>
      <c r="N21" s="41">
        <f>2*ACOS((N19/N16)*(1-2*N20))</f>
        <v>1.386157068582438</v>
      </c>
    </row>
    <row r="22" spans="1:14">
      <c r="A22" s="1" t="s">
        <v>0</v>
      </c>
      <c r="B22" s="1" t="s">
        <v>1</v>
      </c>
      <c r="C22" s="1" t="s">
        <v>2</v>
      </c>
      <c r="F22" s="32" t="s">
        <v>88</v>
      </c>
      <c r="G22" s="30"/>
      <c r="H22" s="33">
        <f>INT(H20/(3.14*B2*H21))</f>
        <v>1533</v>
      </c>
      <c r="M22" s="40" t="s">
        <v>247</v>
      </c>
      <c r="N22" s="41">
        <f>2*ACOS((N19/N17)*(1-2*N20))</f>
        <v>1.4353637470856293</v>
      </c>
    </row>
    <row r="23" spans="1:14">
      <c r="A23" s="1" t="s">
        <v>4</v>
      </c>
      <c r="B23" s="1">
        <v>132296</v>
      </c>
      <c r="C23" s="1">
        <v>192743</v>
      </c>
      <c r="F23" s="32" t="s">
        <v>113</v>
      </c>
      <c r="G23" s="30"/>
      <c r="H23" s="33">
        <v>4.4999999999999998E-2</v>
      </c>
      <c r="M23" s="40" t="s">
        <v>248</v>
      </c>
      <c r="N23" s="41">
        <f>2*ACOS(1-2*N20)</f>
        <v>1.590797660368287</v>
      </c>
    </row>
    <row r="24" spans="1:14">
      <c r="A24" s="1" t="s">
        <v>5</v>
      </c>
      <c r="B24" s="1">
        <v>5.5</v>
      </c>
      <c r="C24" s="1">
        <v>14</v>
      </c>
      <c r="F24" s="32" t="s">
        <v>90</v>
      </c>
      <c r="G24" s="27" t="s">
        <v>75</v>
      </c>
      <c r="H24" s="33">
        <v>916.26956093209253</v>
      </c>
      <c r="M24" s="40" t="s">
        <v>249</v>
      </c>
      <c r="N24" s="41">
        <f>(PI()/4)*(N19)^2*(N23/(2*PI())-SIN(N23)/(2*PI()))</f>
        <v>7.2224618218844544E-2</v>
      </c>
    </row>
    <row r="25" spans="1:14">
      <c r="A25" s="1" t="s">
        <v>9</v>
      </c>
      <c r="B25" s="1">
        <v>40</v>
      </c>
      <c r="C25" s="1">
        <v>102</v>
      </c>
      <c r="F25" s="32" t="s">
        <v>104</v>
      </c>
      <c r="G25" s="27" t="s">
        <v>75</v>
      </c>
      <c r="H25" s="33">
        <v>6139.331792097365</v>
      </c>
      <c r="M25" s="40" t="s">
        <v>250</v>
      </c>
      <c r="N25" s="41">
        <f>N21/(2*PI())-SIN(N21)/(2*PI())</f>
        <v>6.4164035437357408E-2</v>
      </c>
    </row>
    <row r="26" spans="1:14">
      <c r="A26" s="1" t="s">
        <v>8</v>
      </c>
      <c r="B26" s="1">
        <v>84</v>
      </c>
      <c r="C26" s="1">
        <v>72</v>
      </c>
      <c r="F26" s="32" t="s">
        <v>105</v>
      </c>
      <c r="G26" s="27" t="s">
        <v>75</v>
      </c>
      <c r="H26" s="33">
        <f>((H25^(-1))+C28*2+(LN(B2/(B2-2*B3))*B2)/(2*45)+(B2/(H24*(B2-2*B3))))^(-1)</f>
        <v>467.76352450461616</v>
      </c>
      <c r="M26" s="40" t="s">
        <v>251</v>
      </c>
      <c r="N26" s="41">
        <f>1-2*N25</f>
        <v>0.87167192912528524</v>
      </c>
    </row>
    <row r="27" spans="1:14">
      <c r="A27" s="1" t="s">
        <v>6</v>
      </c>
      <c r="B27" s="1">
        <v>0.69</v>
      </c>
      <c r="C27" s="1">
        <v>1.03</v>
      </c>
      <c r="F27" s="32" t="s">
        <v>107</v>
      </c>
      <c r="G27" s="30" t="s">
        <v>335</v>
      </c>
      <c r="H27" s="33">
        <f>J2+((J3-J2)/(1+H24/H25))</f>
        <v>65.246603354860298</v>
      </c>
      <c r="M27" s="40" t="s">
        <v>252</v>
      </c>
      <c r="N27" s="41">
        <f>ROUND(N14*N25,0.5)</f>
        <v>73</v>
      </c>
    </row>
    <row r="28" spans="1:14">
      <c r="A28" s="1" t="s">
        <v>7</v>
      </c>
      <c r="B28" s="1">
        <v>2.5999999999999998E-4</v>
      </c>
      <c r="C28" s="1">
        <v>2.5999999999999998E-4</v>
      </c>
      <c r="F28" s="32" t="s">
        <v>110</v>
      </c>
      <c r="G28" s="30" t="s">
        <v>431</v>
      </c>
      <c r="H28" s="33">
        <v>30096.103625792093</v>
      </c>
      <c r="M28" s="40" t="s">
        <v>253</v>
      </c>
      <c r="N28" s="41">
        <f>N27*(PI()/4)*(B2)^2</f>
        <v>2.0806675860441E-2</v>
      </c>
    </row>
    <row r="29" spans="1:14">
      <c r="F29" s="32" t="s">
        <v>108</v>
      </c>
      <c r="G29" s="30"/>
      <c r="H29" s="33">
        <v>0.05</v>
      </c>
      <c r="M29" s="40" t="s">
        <v>254</v>
      </c>
      <c r="N29" s="41">
        <f>N24-N28</f>
        <v>5.1417942358403544E-2</v>
      </c>
    </row>
    <row r="30" spans="1:14">
      <c r="F30" s="32" t="s">
        <v>109</v>
      </c>
      <c r="G30" s="30"/>
      <c r="H30" s="33">
        <v>33.702512298830584</v>
      </c>
      <c r="M30" s="40" t="s">
        <v>255</v>
      </c>
      <c r="N30" s="41">
        <f>4*N29/(PI()*N25*B2*N14+PI()*N19*(N23/2*PI()))</f>
        <v>1.6952725703535582E-2</v>
      </c>
    </row>
    <row r="31" spans="1:14">
      <c r="F31" s="32" t="s">
        <v>111</v>
      </c>
      <c r="G31" s="30" t="s">
        <v>431</v>
      </c>
      <c r="H31" s="33">
        <v>4619.9416744941236</v>
      </c>
      <c r="M31" s="40" t="s">
        <v>256</v>
      </c>
      <c r="N31" s="41">
        <f>ROUND((N19/(0.866*N15))*(1-2*N20),0.5)</f>
        <v>31</v>
      </c>
    </row>
    <row r="32" spans="1:14">
      <c r="F32" s="34" t="s">
        <v>112</v>
      </c>
      <c r="G32" s="35" t="s">
        <v>73</v>
      </c>
      <c r="H32" s="36">
        <f>(C23*4)/(3600*(H22/4)*3.14*(B2-2*B3)^2*J12)</f>
        <v>1.3114995922228647</v>
      </c>
      <c r="M32" s="40" t="s">
        <v>257</v>
      </c>
      <c r="N32" s="41">
        <f>0.4*(N19*N20-(N19-N16)/2)</f>
        <v>4.1516125089805025E-2</v>
      </c>
    </row>
    <row r="33" spans="13:14">
      <c r="M33" s="40" t="s">
        <v>258</v>
      </c>
      <c r="N33" s="41">
        <f>ROUND(((2*0.4)/(0.866*N15))*(N19*N20-(N19-N16)/2),0.5)</f>
        <v>4</v>
      </c>
    </row>
    <row r="34" spans="13:14">
      <c r="M34" s="40" t="s">
        <v>259</v>
      </c>
      <c r="N34" s="41">
        <v>0.185</v>
      </c>
    </row>
    <row r="35" spans="13:14">
      <c r="M35" s="40" t="s">
        <v>260</v>
      </c>
      <c r="N35" s="41">
        <f>ROUND((N13/N34-1),0.5)</f>
        <v>25</v>
      </c>
    </row>
    <row r="36" spans="13:14">
      <c r="M36" s="40" t="s">
        <v>261</v>
      </c>
      <c r="N36" s="41">
        <f>N15-B2</f>
        <v>6.349999999999998E-3</v>
      </c>
    </row>
    <row r="37" spans="13:14">
      <c r="M37" s="40" t="s">
        <v>262</v>
      </c>
      <c r="N37" s="41">
        <f>N34*(N19-N17+N36)/2</f>
        <v>7.0623750000000053E-3</v>
      </c>
    </row>
    <row r="38" spans="13:14">
      <c r="M38" s="40" t="s">
        <v>263</v>
      </c>
      <c r="N38" s="41">
        <f>(1.6+0.004*N19*1000)/1000</f>
        <v>5.555075005987003E-3</v>
      </c>
    </row>
    <row r="39" spans="13:14">
      <c r="M39" s="40" t="s">
        <v>264</v>
      </c>
      <c r="N39" s="41">
        <f>(PI()*N19)*(N38/2)*(2*PI()-N23)/(2*PI())/2</f>
        <v>3.22172565778722E-3</v>
      </c>
    </row>
    <row r="40" spans="13:14">
      <c r="M40" s="40" t="s">
        <v>265</v>
      </c>
      <c r="N40" s="41">
        <f>0.00055</f>
        <v>5.5000000000000003E-4</v>
      </c>
    </row>
    <row r="41" spans="13:14">
      <c r="M41" s="40" t="s">
        <v>266</v>
      </c>
      <c r="N41" s="41">
        <f>(PI()/4)*((B2+N40)^2-B2^2)*N14*(1-N25)/2</f>
        <v>8.8902519037384053E-3</v>
      </c>
    </row>
    <row r="42" spans="13:14">
      <c r="M42" s="40" t="s">
        <v>267</v>
      </c>
      <c r="N42" s="41">
        <f>N34*(N18+(N16/N15)*(N15-B2))/2</f>
        <v>2.7280996128362354E-2</v>
      </c>
    </row>
    <row r="43" spans="13:14">
      <c r="M43" s="40" t="s">
        <v>268</v>
      </c>
      <c r="N43" s="41">
        <f>C23</f>
        <v>192743</v>
      </c>
    </row>
    <row r="44" spans="13:14">
      <c r="M44" s="40" t="s">
        <v>269</v>
      </c>
      <c r="N44" s="41">
        <f>N43/(3600*N42)</f>
        <v>1962.5281265503463</v>
      </c>
    </row>
    <row r="45" spans="13:14">
      <c r="M45" s="40" t="s">
        <v>270</v>
      </c>
      <c r="N45" s="41">
        <f>J5</f>
        <v>1.996E-4</v>
      </c>
    </row>
    <row r="46" spans="13:14">
      <c r="M46" s="40" t="s">
        <v>271</v>
      </c>
      <c r="N46" s="41">
        <f>(N44*B2)/N45</f>
        <v>187305.41488368786</v>
      </c>
    </row>
    <row r="47" spans="13:14">
      <c r="M47" s="40" t="s">
        <v>272</v>
      </c>
      <c r="N47" s="41">
        <f>J7</f>
        <v>2359.6</v>
      </c>
    </row>
    <row r="48" spans="13:14">
      <c r="M48" s="40" t="s">
        <v>70</v>
      </c>
      <c r="N48" s="41">
        <f>0.02</f>
        <v>0.02</v>
      </c>
    </row>
    <row r="49" spans="13:14">
      <c r="M49" s="40" t="s">
        <v>108</v>
      </c>
      <c r="N49" s="41">
        <f>0.38</f>
        <v>0.38</v>
      </c>
    </row>
    <row r="50" spans="13:14">
      <c r="M50" s="40" t="s">
        <v>273</v>
      </c>
      <c r="N50" s="41">
        <f>J9</f>
        <v>0.12539999999999998</v>
      </c>
    </row>
    <row r="51" spans="13:14">
      <c r="M51" s="40" t="s">
        <v>274</v>
      </c>
      <c r="N51" s="41">
        <f>(N45*N47)/N50</f>
        <v>3.7557907496012763</v>
      </c>
    </row>
    <row r="52" spans="13:14">
      <c r="M52" s="40" t="s">
        <v>275</v>
      </c>
      <c r="N52" s="41">
        <f>N97*N48*N47*N44*(N51)^((-2)/(3))</f>
        <v>38499.81973141148</v>
      </c>
    </row>
    <row r="53" spans="13:14">
      <c r="M53" s="40" t="s">
        <v>276</v>
      </c>
      <c r="N53" s="41">
        <f>0.55+(0.72)*N26</f>
        <v>1.1776037889702053</v>
      </c>
    </row>
    <row r="54" spans="13:14">
      <c r="M54" s="40" t="s">
        <v>277</v>
      </c>
      <c r="N54" s="41">
        <f>(N39+N41)/N42</f>
        <v>0.44397123567396268</v>
      </c>
    </row>
    <row r="55" spans="13:14">
      <c r="M55" s="40" t="s">
        <v>278</v>
      </c>
      <c r="N55" s="41">
        <f>N39/(N39+N41)</f>
        <v>0.26599501538222892</v>
      </c>
    </row>
    <row r="56" spans="13:14">
      <c r="M56" s="40" t="s">
        <v>279</v>
      </c>
      <c r="N56" s="41">
        <f>0.44*(1-N55)+(1-0.44*(1-N55))*EXP(-2.2*N54)</f>
        <v>0.57789255007341667</v>
      </c>
    </row>
    <row r="57" spans="13:14">
      <c r="M57" s="40" t="s">
        <v>280</v>
      </c>
      <c r="N57" s="41">
        <f>-0.15*(1+N55)+0.8</f>
        <v>0.61010074769266565</v>
      </c>
    </row>
    <row r="58" spans="13:14">
      <c r="M58" s="40" t="s">
        <v>281</v>
      </c>
      <c r="N58" s="41">
        <f>EXP((-1.33)*(1+N55)*(N54)^N57)</f>
        <v>0.35844869039247751</v>
      </c>
    </row>
    <row r="59" spans="13:14">
      <c r="M59" s="40" t="s">
        <v>282</v>
      </c>
      <c r="N59" s="41">
        <v>4</v>
      </c>
    </row>
    <row r="60" spans="13:14">
      <c r="M60" s="40" t="s">
        <v>283</v>
      </c>
      <c r="N60" s="41">
        <f>N59/N31</f>
        <v>0.12903225806451613</v>
      </c>
    </row>
    <row r="61" spans="13:14">
      <c r="M61" s="40" t="s">
        <v>284</v>
      </c>
      <c r="N61" s="41">
        <v>3.7</v>
      </c>
    </row>
    <row r="62" spans="13:14">
      <c r="M62" s="40" t="s">
        <v>285</v>
      </c>
      <c r="N62" s="41">
        <f>N34*((N19-N17)+N36)</f>
        <v>1.4124750000000011E-2</v>
      </c>
    </row>
    <row r="63" spans="13:14">
      <c r="M63" s="40" t="s">
        <v>286</v>
      </c>
      <c r="N63" s="41">
        <f>N34*(N18+(N16/N15)*(N15-B2))</f>
        <v>5.4561992256724708E-2</v>
      </c>
    </row>
    <row r="64" spans="13:14">
      <c r="M64" s="40" t="s">
        <v>287</v>
      </c>
      <c r="N64" s="41">
        <f>N62/N63</f>
        <v>0.25887526125403071</v>
      </c>
    </row>
    <row r="65" spans="13:14">
      <c r="M65" s="40" t="s">
        <v>288</v>
      </c>
      <c r="N65" s="41">
        <f>EXP((-N61)*N64*(1-(2*N60)^((1)/(3))))</f>
        <v>0.7060858783823375</v>
      </c>
    </row>
    <row r="66" spans="13:14">
      <c r="M66" s="40" t="s">
        <v>289</v>
      </c>
      <c r="N66" s="41">
        <f>IF(N46&gt;100,1.25,1.35)</f>
        <v>1.25</v>
      </c>
    </row>
    <row r="67" spans="13:14">
      <c r="M67" s="40" t="s">
        <v>290</v>
      </c>
      <c r="N67" s="41">
        <f>EXP((-N66)*N64*(1-(2*N60)^((1)/(3))))</f>
        <v>0.88907490757692464</v>
      </c>
    </row>
    <row r="68" spans="13:14">
      <c r="M68" s="40" t="s">
        <v>291</v>
      </c>
      <c r="N68" s="41">
        <f>(N31+N33)*(1+N35)</f>
        <v>910</v>
      </c>
    </row>
    <row r="69" spans="13:14">
      <c r="M69" s="40" t="s">
        <v>292</v>
      </c>
      <c r="N69" s="41">
        <v>1</v>
      </c>
    </row>
    <row r="70" spans="13:14">
      <c r="M70" s="40" t="s">
        <v>293</v>
      </c>
      <c r="N70" s="41">
        <f>N34+0.6</f>
        <v>0.78499999999999992</v>
      </c>
    </row>
    <row r="71" spans="13:14">
      <c r="M71" s="40" t="s">
        <v>294</v>
      </c>
      <c r="N71" s="41">
        <f>N70/N34</f>
        <v>4.243243243243243</v>
      </c>
    </row>
    <row r="72" spans="13:14">
      <c r="M72" s="40" t="s">
        <v>295</v>
      </c>
      <c r="N72" s="41">
        <f>((N35-1)+2*(N71)^(0.4))/((N35-1)+2*N71)</f>
        <v>0.84851919755641225</v>
      </c>
    </row>
    <row r="73" spans="13:14">
      <c r="M73" s="40" t="s">
        <v>296</v>
      </c>
      <c r="N73" s="41">
        <f>N53*N56*N67*N69*N72</f>
        <v>0.51338871258727814</v>
      </c>
    </row>
    <row r="74" spans="13:14">
      <c r="M74" s="40" t="s">
        <v>297</v>
      </c>
      <c r="N74" s="41">
        <f>N73*N52</f>
        <v>19765.372886751629</v>
      </c>
    </row>
    <row r="75" spans="13:14">
      <c r="M75" s="40" t="s">
        <v>298</v>
      </c>
      <c r="N75" s="41">
        <f>J12</f>
        <v>616.98389999999995</v>
      </c>
    </row>
    <row r="76" spans="13:14">
      <c r="M76" s="40" t="s">
        <v>299</v>
      </c>
      <c r="N76" s="41">
        <f>(C23*4)/(3600*N14*PI()*(B2-2*B3)^2*N75)</f>
        <v>0.44145641968826982</v>
      </c>
    </row>
    <row r="77" spans="13:14">
      <c r="M77" s="40" t="s">
        <v>300</v>
      </c>
      <c r="N77" s="41">
        <f>J4</f>
        <v>1.8120000000000004E-4</v>
      </c>
    </row>
    <row r="78" spans="13:14">
      <c r="M78" s="40" t="s">
        <v>301</v>
      </c>
      <c r="N78" s="41">
        <f>(N75*N76*(B2-2*B3))/(N77)</f>
        <v>22291.773713546907</v>
      </c>
    </row>
    <row r="79" spans="13:14">
      <c r="M79" s="40" t="s">
        <v>302</v>
      </c>
      <c r="N79" s="41">
        <f>J10</f>
        <v>0.1231</v>
      </c>
    </row>
    <row r="80" spans="13:14">
      <c r="M80" s="40" t="s">
        <v>303</v>
      </c>
      <c r="N80" s="41">
        <f>J8</f>
        <v>2552.1999999999998</v>
      </c>
    </row>
    <row r="81" spans="13:14">
      <c r="M81" s="40" t="s">
        <v>304</v>
      </c>
      <c r="N81" s="41">
        <f>(N80*N77)/N79</f>
        <v>3.7567720552396433</v>
      </c>
    </row>
    <row r="82" spans="13:14">
      <c r="M82" s="40" t="s">
        <v>305</v>
      </c>
      <c r="N82" s="41">
        <f>(N98*0.023*(N78)^(0.8)*(N81)^(0.33)*N79)/(B2-2*B3)</f>
        <v>871.42837057413851</v>
      </c>
    </row>
    <row r="83" spans="13:14">
      <c r="M83" s="42" t="s">
        <v>306</v>
      </c>
      <c r="N83" s="44">
        <f>((N75*(N76)^2)/2)*(2.5+(1)/(N98)*8*N96*(N13/(B2-2*B3)))</f>
        <v>8225.9190524570258</v>
      </c>
    </row>
    <row r="84" spans="13:14">
      <c r="M84" s="42" t="s">
        <v>307</v>
      </c>
      <c r="N84" s="41">
        <f>N97*(2*N49*N31*(N44)^2)/(N88)</f>
        <v>147836.21494879285</v>
      </c>
    </row>
    <row r="85" spans="13:14">
      <c r="M85" s="42" t="s">
        <v>308</v>
      </c>
      <c r="N85" s="41">
        <f>N84*(N35-1)*N65*N58</f>
        <v>898000.54501918808</v>
      </c>
    </row>
    <row r="86" spans="13:14">
      <c r="M86" s="42" t="s">
        <v>309</v>
      </c>
      <c r="N86" s="41">
        <f>(B23)/((3600)*(N42*N29)^0.5)</f>
        <v>981.19822551092386</v>
      </c>
    </row>
    <row r="87" spans="13:14">
      <c r="M87" s="42" t="s">
        <v>310</v>
      </c>
      <c r="N87" s="41">
        <f>N35*((2+0.6*N33)*(N86)^2*N58)/(2*N88)</f>
        <v>30787.064619218883</v>
      </c>
    </row>
    <row r="88" spans="13:14">
      <c r="M88" s="42" t="s">
        <v>311</v>
      </c>
      <c r="N88" s="41">
        <f>J11</f>
        <v>616.50260000000003</v>
      </c>
    </row>
    <row r="89" spans="13:14">
      <c r="M89" s="42" t="s">
        <v>312</v>
      </c>
      <c r="N89" s="41">
        <f>2*(N34/N70)^1.8</f>
        <v>0.1483111234407678</v>
      </c>
    </row>
    <row r="90" spans="13:14">
      <c r="M90" s="43" t="s">
        <v>313</v>
      </c>
      <c r="N90" s="41">
        <f>N84*N89*N65*(1+(N33/N31))</f>
        <v>17479.074590789369</v>
      </c>
    </row>
    <row r="91" spans="13:14">
      <c r="M91" s="42" t="s">
        <v>314</v>
      </c>
      <c r="N91" s="41">
        <f>N90+N87+N85</f>
        <v>946266.68422919628</v>
      </c>
    </row>
    <row r="92" spans="13:14">
      <c r="M92" s="42" t="s">
        <v>315</v>
      </c>
      <c r="N92" s="41">
        <f>(1)/((B2 / (N82*(B2-2*B3)))+(1 / (N74))+((LN(B2/(B2-2*B3))*B2) / (2*45)))</f>
        <v>633.84141663141963</v>
      </c>
    </row>
    <row r="93" spans="13:14">
      <c r="M93" s="42" t="s">
        <v>316</v>
      </c>
      <c r="N93" s="41">
        <f>B28</f>
        <v>2.5999999999999998E-4</v>
      </c>
    </row>
    <row r="94" spans="13:14">
      <c r="M94" s="42" t="s">
        <v>317</v>
      </c>
      <c r="N94" s="41">
        <f>C28</f>
        <v>2.5999999999999998E-4</v>
      </c>
    </row>
    <row r="95" spans="13:14">
      <c r="M95" s="42" t="s">
        <v>318</v>
      </c>
      <c r="N95" s="41">
        <f>(1)/((1)/(N92)+N93+N94)</f>
        <v>476.71675011463469</v>
      </c>
    </row>
    <row r="96" spans="13:14">
      <c r="M96" s="42" t="s">
        <v>108</v>
      </c>
      <c r="N96" s="44">
        <v>0.05</v>
      </c>
    </row>
    <row r="97" spans="13:14">
      <c r="M97" s="42" t="s">
        <v>319</v>
      </c>
      <c r="N97" s="41">
        <f>((N45*1000)/( -0.0019*N99+ 0.3174))^0.14</f>
        <v>1.004404574005856</v>
      </c>
    </row>
    <row r="98" spans="13:14">
      <c r="M98" s="42" t="s">
        <v>320</v>
      </c>
      <c r="N98" s="41">
        <f>((N77*1000)/( -0.0013*N99 + 0.2943))^0.14</f>
        <v>0.97990135350724972</v>
      </c>
    </row>
    <row r="99" spans="13:14">
      <c r="M99" s="42" t="s">
        <v>321</v>
      </c>
      <c r="N99" s="41">
        <f>'Kern Method'!H27</f>
        <v>65.246603354860298</v>
      </c>
    </row>
    <row r="100" spans="13:14">
      <c r="M100" s="42" t="s">
        <v>280</v>
      </c>
      <c r="N100" s="41">
        <f>(N7-N6)/(N4-N6)</f>
        <v>0.4838709677419355</v>
      </c>
    </row>
    <row r="101" spans="13:14">
      <c r="M101" s="42" t="s">
        <v>224</v>
      </c>
      <c r="N101" s="41">
        <f>(N4-N5)/(N7-N6)</f>
        <v>1.4666666666666666</v>
      </c>
    </row>
    <row r="102" spans="13:14">
      <c r="M102" s="42" t="s">
        <v>322</v>
      </c>
      <c r="N102" s="41">
        <f>1.1*N12</f>
        <v>365.47839327063451</v>
      </c>
    </row>
    <row r="103" spans="13:14">
      <c r="M103" s="42" t="s">
        <v>323</v>
      </c>
      <c r="N103" s="41">
        <f>INT(N102/(PI()*B2*N13))</f>
        <v>1251</v>
      </c>
    </row>
    <row r="104" spans="13:14">
      <c r="M104" s="42" t="s">
        <v>324</v>
      </c>
      <c r="N104" s="41">
        <f>B2*((N103*2)/(0.249))^((1)/(2.207))</f>
        <v>1.2395272670586983</v>
      </c>
    </row>
    <row r="105" spans="13:14">
      <c r="M105" s="42" t="s">
        <v>325</v>
      </c>
      <c r="N105" s="41">
        <f>0.05+0.022*(N104-0.2)</f>
        <v>7.286959987529136E-2</v>
      </c>
    </row>
    <row r="106" spans="13:14">
      <c r="M106" s="42" t="s">
        <v>326</v>
      </c>
      <c r="N106" s="41">
        <f>N104-B2</f>
        <v>1.2204772670586983</v>
      </c>
    </row>
    <row r="107" spans="13:14">
      <c r="M107" s="42" t="s">
        <v>327</v>
      </c>
      <c r="N107" s="41">
        <f>N105+N104</f>
        <v>1.3123968669339896</v>
      </c>
    </row>
    <row r="108" spans="13:14">
      <c r="M108" s="42" t="s">
        <v>328</v>
      </c>
      <c r="N108" s="41">
        <f>N34</f>
        <v>0.185</v>
      </c>
    </row>
    <row r="109" spans="13:14">
      <c r="M109" s="42" t="s">
        <v>329</v>
      </c>
      <c r="N109" s="41">
        <f>0.6</f>
        <v>0.6</v>
      </c>
    </row>
    <row r="110" spans="13:14">
      <c r="M110" s="42" t="s">
        <v>330</v>
      </c>
      <c r="N110" s="41">
        <f>N108*(N105+(N106/N15)*(N15-B2))</f>
        <v>6.9927949578393669E-2</v>
      </c>
    </row>
    <row r="111" spans="13:14">
      <c r="M111" s="42" t="s">
        <v>331</v>
      </c>
      <c r="N111" s="41">
        <f>(N43)/(3600*N110)</f>
        <v>765.64124280808198</v>
      </c>
    </row>
    <row r="112" spans="13:14">
      <c r="M112" s="42" t="s">
        <v>332</v>
      </c>
      <c r="N112" s="41">
        <f>N97*N48*N111*N47*(N51)^((-2)/(3))</f>
        <v>15019.937512365028</v>
      </c>
    </row>
    <row r="113" spans="13:16">
      <c r="M113" s="42" t="s">
        <v>333</v>
      </c>
      <c r="N113" s="41">
        <f>N112*N109</f>
        <v>9011.9625074190171</v>
      </c>
    </row>
    <row r="114" spans="13:16">
      <c r="M114" s="42" t="s">
        <v>334</v>
      </c>
      <c r="N114" s="41">
        <f>((N113^(-1))+C28+(LN(B2/(B2-2*B3))*B2)/(2*45)+(B2/(N122*(B2-2*B3))))^(-1)</f>
        <v>357.44440143639616</v>
      </c>
      <c r="O114" s="89" t="s">
        <v>238</v>
      </c>
      <c r="P114" s="89">
        <f>N9/(N10*N8*N114)</f>
        <v>434.79733727834395</v>
      </c>
    </row>
    <row r="115" spans="13:16">
      <c r="M115" s="42" t="s">
        <v>335</v>
      </c>
      <c r="N115" s="41">
        <f>(N43*N47)/(N80*C23)</f>
        <v>0.92453569469477326</v>
      </c>
      <c r="O115" s="89" t="s">
        <v>347</v>
      </c>
      <c r="P115" s="89">
        <f>ROUND(P114/(B2*N13*3.14)*0.9,0.5)</f>
        <v>1341</v>
      </c>
    </row>
    <row r="116" spans="13:16">
      <c r="M116" s="42" t="s">
        <v>336</v>
      </c>
      <c r="N116" s="41">
        <f>(3600*N114*N102)/(N43*N47)</f>
        <v>1.0340837299069385</v>
      </c>
    </row>
    <row r="117" spans="13:16">
      <c r="M117" s="42" t="s">
        <v>337</v>
      </c>
      <c r="N117" s="41">
        <f>(2)/(1+N115+(1+((N115)^2)^(0.5))*((1+EXP(-N116*(1+(N115)^2)^0.5))/(1-EXP(-N116*(1+(N115^2))^0.5))))</f>
        <v>0.39253383623972538</v>
      </c>
    </row>
    <row r="118" spans="13:16">
      <c r="M118" s="42" t="s">
        <v>338</v>
      </c>
      <c r="N118" s="41">
        <f>N6-(N6-N4)*N117</f>
        <v>77.662902153137026</v>
      </c>
    </row>
    <row r="119" spans="13:16">
      <c r="M119" s="42" t="s">
        <v>339</v>
      </c>
      <c r="N119" s="41">
        <f>N4+(N6-N118)/N115</f>
        <v>66.323589220530465</v>
      </c>
    </row>
    <row r="120" spans="13:16">
      <c r="M120" s="42" t="s">
        <v>340</v>
      </c>
      <c r="N120" s="41">
        <f>(C23*4)/(3600*PI()*(B2-N922*B3)^2*N103*N75)</f>
        <v>0.24336892913509556</v>
      </c>
    </row>
    <row r="121" spans="13:16">
      <c r="M121" s="42" t="s">
        <v>341</v>
      </c>
      <c r="N121" s="41">
        <f>(N120*(B2-2*B3)*N75)/(N77)</f>
        <v>12289.15212291778</v>
      </c>
    </row>
    <row r="122" spans="13:16">
      <c r="M122" s="42" t="s">
        <v>342</v>
      </c>
      <c r="N122" s="45">
        <f>(N98*0.023*(N121)^(0.8)*(N81)^(0.33)*N79)/(B2-2*B3)</f>
        <v>541.16977212882466</v>
      </c>
    </row>
    <row r="123" spans="13:16">
      <c r="M123" s="42" t="s">
        <v>343</v>
      </c>
      <c r="N123" s="41">
        <f>(1)/((B2/(N122*(B2-2*B3))+(1/(N113))+((LN(B2/(B2-2*B3))*(B2-2*B3))/(2*45))))</f>
        <v>395.89908587893217</v>
      </c>
    </row>
    <row r="124" spans="13:16">
      <c r="M124" s="42" t="s">
        <v>344</v>
      </c>
      <c r="N124" s="41">
        <f>(C23 / 3600)*J8*(N6-N118)</f>
        <v>3325520.3221695349</v>
      </c>
    </row>
    <row r="125" spans="13:16">
      <c r="M125" s="46" t="s">
        <v>345</v>
      </c>
      <c r="N125" s="47">
        <f>((N118-N4)-(N6-N119))/LN((N118-N4)/(N6-N119))</f>
        <v>36.66068692422958</v>
      </c>
    </row>
  </sheetData>
  <mergeCells count="7">
    <mergeCell ref="M1:N3"/>
    <mergeCell ref="A21:C21"/>
    <mergeCell ref="A1:B1"/>
    <mergeCell ref="F1:H1"/>
    <mergeCell ref="I1:J1"/>
    <mergeCell ref="A14:B14"/>
    <mergeCell ref="I14:J15"/>
  </mergeCell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B69E2-E931-45B8-AD12-CD8A5A290FB7}">
  <sheetPr codeName="Sheet8"/>
  <dimension ref="A1:P53"/>
  <sheetViews>
    <sheetView showGridLines="0" topLeftCell="B28" zoomScale="85" zoomScaleNormal="85" workbookViewId="0">
      <selection activeCell="P10" sqref="P10"/>
    </sheetView>
  </sheetViews>
  <sheetFormatPr defaultRowHeight="14.5"/>
  <cols>
    <col min="2" max="2" width="23.26953125" bestFit="1" customWidth="1"/>
    <col min="3" max="3" width="19.54296875" bestFit="1" customWidth="1"/>
    <col min="4" max="4" width="4.81640625" bestFit="1" customWidth="1"/>
    <col min="6" max="6" width="21.1796875" bestFit="1" customWidth="1"/>
    <col min="7" max="7" width="16.7265625" bestFit="1" customWidth="1"/>
    <col min="8" max="8" width="4.1796875" bestFit="1" customWidth="1"/>
    <col min="10" max="10" width="10.90625" bestFit="1" customWidth="1"/>
    <col min="11" max="11" width="11.81640625" bestFit="1" customWidth="1"/>
    <col min="13" max="13" width="10.90625" bestFit="1" customWidth="1"/>
    <col min="14" max="14" width="12.08984375" bestFit="1" customWidth="1"/>
  </cols>
  <sheetData>
    <row r="1" spans="1:16">
      <c r="A1" s="48"/>
      <c r="B1" s="48"/>
      <c r="C1" s="48"/>
      <c r="D1" s="48"/>
      <c r="E1" s="48"/>
      <c r="F1" s="48"/>
      <c r="G1" s="48"/>
      <c r="H1" s="48"/>
      <c r="I1" s="48"/>
      <c r="J1" s="48"/>
      <c r="K1" s="1"/>
      <c r="L1" s="1"/>
      <c r="M1" s="1"/>
      <c r="N1" s="1"/>
      <c r="O1" s="1"/>
      <c r="P1" s="1"/>
    </row>
    <row r="2" spans="1:16" ht="15" thickBot="1">
      <c r="A2" s="48"/>
      <c r="B2" s="265" t="s">
        <v>29</v>
      </c>
      <c r="C2" s="266"/>
      <c r="D2" s="267"/>
      <c r="E2" s="48"/>
      <c r="F2" s="268" t="s">
        <v>348</v>
      </c>
      <c r="G2" s="268"/>
      <c r="H2" s="268"/>
      <c r="I2" s="48"/>
      <c r="J2" s="260" t="s">
        <v>429</v>
      </c>
      <c r="K2" s="261"/>
      <c r="L2" s="1"/>
      <c r="M2" s="260" t="s">
        <v>433</v>
      </c>
      <c r="N2" s="261"/>
      <c r="O2" s="1"/>
      <c r="P2" s="1"/>
    </row>
    <row r="3" spans="1:16" ht="15" thickBot="1">
      <c r="A3" s="48"/>
      <c r="B3" s="80" t="s">
        <v>13</v>
      </c>
      <c r="C3" s="83" t="s">
        <v>190</v>
      </c>
      <c r="D3" s="82"/>
      <c r="E3" s="48"/>
      <c r="F3" s="78" t="s">
        <v>13</v>
      </c>
      <c r="G3" s="73" t="s">
        <v>16</v>
      </c>
      <c r="H3" s="74"/>
      <c r="I3" s="48"/>
      <c r="J3" s="75" t="s">
        <v>424</v>
      </c>
      <c r="K3" s="76">
        <f>K4*'Kern Method'!H4^2</f>
        <v>547.04366026321281</v>
      </c>
      <c r="L3" s="1"/>
      <c r="M3" s="75" t="s">
        <v>424</v>
      </c>
      <c r="N3" s="76">
        <f>N4*0.95^2</f>
        <v>570.38</v>
      </c>
      <c r="O3" s="1"/>
      <c r="P3" s="1"/>
    </row>
    <row r="4" spans="1:16" ht="15" thickBot="1">
      <c r="A4" s="48"/>
      <c r="B4" s="80" t="s">
        <v>349</v>
      </c>
      <c r="C4" s="83" t="s">
        <v>86</v>
      </c>
      <c r="D4" s="82"/>
      <c r="E4" s="48"/>
      <c r="F4" s="78" t="s">
        <v>350</v>
      </c>
      <c r="G4" s="73">
        <v>8</v>
      </c>
      <c r="H4" s="74"/>
      <c r="I4" s="48"/>
      <c r="J4" s="75" t="s">
        <v>425</v>
      </c>
      <c r="K4" s="76">
        <f>Properties!H19</f>
        <v>601.4</v>
      </c>
      <c r="L4" s="1"/>
      <c r="M4" s="75" t="s">
        <v>425</v>
      </c>
      <c r="N4" s="76">
        <f>Properties!H28</f>
        <v>632</v>
      </c>
      <c r="O4" s="1"/>
      <c r="P4" s="1"/>
    </row>
    <row r="5" spans="1:16" ht="15" thickBot="1">
      <c r="A5" s="48"/>
      <c r="B5" s="80" t="s">
        <v>351</v>
      </c>
      <c r="C5" s="83">
        <f xml:space="preserve"> 2</f>
        <v>2</v>
      </c>
      <c r="D5" s="82"/>
      <c r="E5" s="48"/>
      <c r="F5" s="78" t="s">
        <v>352</v>
      </c>
      <c r="G5" s="73">
        <v>1.2699999999999999E-2</v>
      </c>
      <c r="H5" s="74" t="s">
        <v>74</v>
      </c>
      <c r="I5" s="48"/>
      <c r="J5" s="75" t="s">
        <v>426</v>
      </c>
      <c r="K5" s="76">
        <f>Properties!B3/3600</f>
        <v>36.748888888888892</v>
      </c>
      <c r="L5" s="1"/>
      <c r="M5" s="75" t="s">
        <v>426</v>
      </c>
      <c r="N5" s="76">
        <f>K5</f>
        <v>36.748888888888892</v>
      </c>
      <c r="O5" s="1"/>
      <c r="P5" s="1"/>
    </row>
    <row r="6" spans="1:16" ht="15" thickBot="1">
      <c r="A6" s="48"/>
      <c r="B6" s="80" t="s">
        <v>353</v>
      </c>
      <c r="C6" s="83">
        <f>0.0111+C15</f>
        <v>1.43E-2</v>
      </c>
      <c r="D6" s="82" t="s">
        <v>74</v>
      </c>
      <c r="E6" s="48"/>
      <c r="F6" s="78" t="s">
        <v>354</v>
      </c>
      <c r="G6" s="73">
        <f>C10</f>
        <v>1.2</v>
      </c>
      <c r="H6" s="74" t="s">
        <v>74</v>
      </c>
      <c r="I6" s="48"/>
      <c r="J6" s="75" t="s">
        <v>427</v>
      </c>
      <c r="K6" s="76">
        <f>SQRT(K3/K4)</f>
        <v>0.95373843066066966</v>
      </c>
      <c r="L6" s="1"/>
      <c r="M6" s="75" t="s">
        <v>427</v>
      </c>
      <c r="N6" s="76">
        <f>SQRT(N3/N4)</f>
        <v>0.95</v>
      </c>
      <c r="O6" s="1"/>
      <c r="P6" s="1"/>
    </row>
    <row r="7" spans="1:16" ht="15" thickBot="1">
      <c r="A7" s="48"/>
      <c r="B7" s="80" t="s">
        <v>355</v>
      </c>
      <c r="C7" s="83">
        <v>0.85</v>
      </c>
      <c r="D7" s="82"/>
      <c r="E7" s="48"/>
      <c r="F7" s="270" t="s">
        <v>356</v>
      </c>
      <c r="G7" s="270"/>
      <c r="H7" s="270"/>
      <c r="I7" s="48"/>
      <c r="J7" s="75" t="s">
        <v>87</v>
      </c>
      <c r="K7" s="76">
        <f>K5/(K6*K4)</f>
        <v>6.4069525274359801E-2</v>
      </c>
      <c r="L7" s="1"/>
      <c r="M7" s="75" t="s">
        <v>87</v>
      </c>
      <c r="N7" s="76">
        <f>N5/(N6*N4)</f>
        <v>6.1207343252646394E-2</v>
      </c>
      <c r="O7" s="1"/>
      <c r="P7" s="1"/>
    </row>
    <row r="8" spans="1:16" ht="15" thickBot="1">
      <c r="A8" s="48"/>
      <c r="B8" s="80" t="s">
        <v>357</v>
      </c>
      <c r="C8" s="83">
        <v>6.5</v>
      </c>
      <c r="D8" s="82" t="s">
        <v>358</v>
      </c>
      <c r="E8" s="48"/>
      <c r="F8" s="78" t="s">
        <v>354</v>
      </c>
      <c r="G8" s="73">
        <f xml:space="preserve">  lbc</f>
        <v>0.77</v>
      </c>
      <c r="H8" s="74" t="s">
        <v>74</v>
      </c>
      <c r="I8" s="48"/>
      <c r="J8" s="75" t="s">
        <v>30</v>
      </c>
      <c r="K8" s="76">
        <f>SQRT(K7*4/PI())</f>
        <v>0.28561486864609109</v>
      </c>
      <c r="L8" s="1"/>
      <c r="M8" s="75" t="s">
        <v>30</v>
      </c>
      <c r="N8" s="76">
        <f>SQRT(N7*4/PI())</f>
        <v>0.27916233602950152</v>
      </c>
      <c r="O8" s="1"/>
      <c r="P8" s="1"/>
    </row>
    <row r="9" spans="1:16" ht="15" thickBot="1">
      <c r="A9" s="48"/>
      <c r="B9" s="80">
        <f>([1]mechD!D15^2 -[1]mechD!D12^2)*0.25*PI()</f>
        <v>51.848547166928768</v>
      </c>
      <c r="C9" s="83">
        <f>1.25 *C8</f>
        <v>8.125</v>
      </c>
      <c r="D9" s="82"/>
      <c r="E9" s="1"/>
      <c r="F9" s="78" t="s">
        <v>350</v>
      </c>
      <c r="G9" s="73">
        <f xml:space="preserve"> (6 - 1) * G4</f>
        <v>40</v>
      </c>
      <c r="H9" s="74" t="s">
        <v>360</v>
      </c>
      <c r="I9" s="48"/>
      <c r="J9" s="75" t="s">
        <v>354</v>
      </c>
      <c r="K9" s="76">
        <f>K8/2</f>
        <v>0.14280743432304555</v>
      </c>
      <c r="L9" s="1"/>
      <c r="M9" s="75" t="s">
        <v>354</v>
      </c>
      <c r="N9" s="76">
        <f>N8/2</f>
        <v>0.13958116801475076</v>
      </c>
      <c r="O9" s="1"/>
      <c r="P9" s="1"/>
    </row>
    <row r="10" spans="1:16">
      <c r="A10" s="48"/>
      <c r="B10" s="80" t="s">
        <v>354</v>
      </c>
      <c r="C10" s="83">
        <f>'Kern Method'!H21/4</f>
        <v>1.2</v>
      </c>
      <c r="D10" s="82"/>
      <c r="E10" s="48"/>
      <c r="F10" s="1"/>
      <c r="G10" s="1"/>
      <c r="H10" s="1"/>
      <c r="I10" s="48"/>
      <c r="J10" s="75" t="s">
        <v>428</v>
      </c>
      <c r="K10" s="76">
        <v>0.85</v>
      </c>
      <c r="L10" s="48"/>
      <c r="M10" s="75" t="s">
        <v>428</v>
      </c>
      <c r="N10" s="76">
        <v>0.85</v>
      </c>
      <c r="O10" s="1"/>
      <c r="P10" s="1"/>
    </row>
    <row r="11" spans="1:16" ht="15" thickBot="1">
      <c r="A11" s="48"/>
      <c r="B11" s="80" t="s">
        <v>361</v>
      </c>
      <c r="C11" s="83">
        <f>'Kern Method'!B16</f>
        <v>1</v>
      </c>
      <c r="D11" s="82" t="s">
        <v>74</v>
      </c>
      <c r="E11" s="48"/>
      <c r="F11" s="269" t="s">
        <v>372</v>
      </c>
      <c r="G11" s="269"/>
      <c r="H11" s="269"/>
      <c r="I11" s="48"/>
      <c r="J11" s="75" t="s">
        <v>359</v>
      </c>
      <c r="K11" s="76">
        <f>((Properties!B4+1)*K8/2)/((K10*10*C13)-(0.6*Properties!B4))+1/1000</f>
        <v>1.7993871194452256E-3</v>
      </c>
      <c r="L11" s="48"/>
      <c r="M11" s="75" t="s">
        <v>359</v>
      </c>
      <c r="N11" s="76">
        <f>((Properties!B4+1)*N8/2)/((N10*10*C13)-(0.6*Properties!B4))+1/1000</f>
        <v>1.7813275853392008E-3</v>
      </c>
      <c r="O11" s="1"/>
      <c r="P11" s="1"/>
    </row>
    <row r="12" spans="1:16" ht="15" thickBot="1">
      <c r="A12" s="48"/>
      <c r="B12" s="80" t="s">
        <v>362</v>
      </c>
      <c r="C12" s="83">
        <v>4</v>
      </c>
      <c r="D12" s="82"/>
      <c r="E12" s="48"/>
      <c r="F12" s="54" t="s">
        <v>373</v>
      </c>
      <c r="G12" s="55">
        <v>0.15</v>
      </c>
      <c r="H12" s="49"/>
      <c r="I12" s="48"/>
      <c r="J12" s="95" t="s">
        <v>368</v>
      </c>
      <c r="K12" s="77">
        <f>((K11+K8)^2-K8^2)*0.25*3.14*K9</f>
        <v>1.1559040262841654E-4</v>
      </c>
      <c r="L12" s="48"/>
      <c r="M12" s="95" t="s">
        <v>368</v>
      </c>
      <c r="N12" s="77">
        <f>((N11+N8)^2-N8^2)*0.25*3.14*N9</f>
        <v>1.0932273872365822E-4</v>
      </c>
      <c r="O12" s="1"/>
      <c r="P12" s="1"/>
    </row>
    <row r="13" spans="1:16" ht="15" thickBot="1">
      <c r="A13" s="48"/>
      <c r="B13" s="80" t="s">
        <v>363</v>
      </c>
      <c r="C13" s="83">
        <v>137</v>
      </c>
      <c r="D13" s="82" t="s">
        <v>364</v>
      </c>
      <c r="E13" s="48"/>
      <c r="F13" s="54" t="s">
        <v>13</v>
      </c>
      <c r="G13" s="55" t="s">
        <v>16</v>
      </c>
      <c r="H13" s="49"/>
      <c r="I13" s="48"/>
      <c r="O13" s="1"/>
      <c r="P13" s="1"/>
    </row>
    <row r="14" spans="1:16" ht="15" thickBot="1">
      <c r="A14" s="48"/>
      <c r="B14" s="96" t="s">
        <v>365</v>
      </c>
      <c r="C14" s="81">
        <f>C11+C6</f>
        <v>1.0143</v>
      </c>
      <c r="D14" s="79" t="s">
        <v>74</v>
      </c>
      <c r="E14" s="48"/>
      <c r="F14" s="54" t="s">
        <v>374</v>
      </c>
      <c r="G14" s="55">
        <v>0.25</v>
      </c>
      <c r="H14" s="49" t="s">
        <v>74</v>
      </c>
      <c r="I14" s="48"/>
      <c r="J14" s="260" t="s">
        <v>430</v>
      </c>
      <c r="K14" s="261"/>
      <c r="L14" s="48"/>
      <c r="M14" s="260" t="s">
        <v>432</v>
      </c>
      <c r="N14" s="261"/>
      <c r="O14" s="1"/>
      <c r="P14" s="1"/>
    </row>
    <row r="15" spans="1:16" ht="15" thickBot="1">
      <c r="A15" s="48"/>
      <c r="B15" s="96" t="s">
        <v>366</v>
      </c>
      <c r="C15" s="81">
        <v>3.2000000000000002E-3</v>
      </c>
      <c r="D15" s="79" t="s">
        <v>371</v>
      </c>
      <c r="E15" s="48"/>
      <c r="F15" s="54" t="s">
        <v>353</v>
      </c>
      <c r="G15" s="55">
        <v>6.4000000000000003E-3</v>
      </c>
      <c r="H15" s="49" t="s">
        <v>74</v>
      </c>
      <c r="I15" s="1"/>
      <c r="J15" s="75" t="s">
        <v>424</v>
      </c>
      <c r="K15" s="76">
        <f>K16*'Kern Method'!H32^2</f>
        <v>1034.4267518930053</v>
      </c>
      <c r="L15" s="48"/>
      <c r="M15" s="75" t="s">
        <v>424</v>
      </c>
      <c r="N15" s="76">
        <f>N16*'Kern Method'!H32^2</f>
        <v>1087.0597060132679</v>
      </c>
      <c r="O15" s="1"/>
      <c r="P15" s="1"/>
    </row>
    <row r="16" spans="1:16" ht="15" thickBot="1">
      <c r="A16" s="48"/>
      <c r="B16" s="96" t="s">
        <v>421</v>
      </c>
      <c r="C16" s="84">
        <v>132</v>
      </c>
      <c r="D16" s="85" t="s">
        <v>422</v>
      </c>
      <c r="E16" s="48"/>
      <c r="F16" s="54" t="s">
        <v>375</v>
      </c>
      <c r="G16" s="55">
        <f>4</f>
        <v>4</v>
      </c>
      <c r="H16" s="49"/>
      <c r="I16" s="1"/>
      <c r="J16" s="75" t="s">
        <v>425</v>
      </c>
      <c r="K16" s="76">
        <f>Properties!H4</f>
        <v>601.4</v>
      </c>
      <c r="L16" s="48"/>
      <c r="M16" s="75" t="s">
        <v>425</v>
      </c>
      <c r="N16" s="76">
        <f>Properties!H13</f>
        <v>632</v>
      </c>
      <c r="O16" s="1"/>
      <c r="P16" s="1"/>
    </row>
    <row r="17" spans="1:16" ht="15" thickBot="1">
      <c r="A17" s="48"/>
      <c r="B17" s="86" t="s">
        <v>423</v>
      </c>
      <c r="C17" s="87">
        <f>(C14^2-C11^2)*0.25*3.14*C10</f>
        <v>2.7133829579999966E-2</v>
      </c>
      <c r="D17" s="88" t="s">
        <v>369</v>
      </c>
      <c r="E17" s="48"/>
      <c r="F17" s="54" t="s">
        <v>378</v>
      </c>
      <c r="G17" s="55">
        <f>C11+2*G20</f>
        <v>1.0096000000000001</v>
      </c>
      <c r="H17" s="49"/>
      <c r="I17" s="1"/>
      <c r="J17" s="75" t="s">
        <v>426</v>
      </c>
      <c r="K17" s="76">
        <f>Properties!C3/3600</f>
        <v>53.539722222222224</v>
      </c>
      <c r="L17" s="48"/>
      <c r="M17" s="75" t="s">
        <v>426</v>
      </c>
      <c r="N17" s="76">
        <f>Properties!C3/3600</f>
        <v>53.539722222222224</v>
      </c>
      <c r="O17" s="1"/>
      <c r="P17" s="1"/>
    </row>
    <row r="18" spans="1:16" ht="15" thickBot="1">
      <c r="A18" s="48"/>
      <c r="B18" s="1"/>
      <c r="C18" s="1"/>
      <c r="D18" s="1"/>
      <c r="E18" s="48"/>
      <c r="F18" s="54" t="s">
        <v>379</v>
      </c>
      <c r="G18" s="55">
        <v>0.35</v>
      </c>
      <c r="H18" s="49" t="s">
        <v>74</v>
      </c>
      <c r="I18" s="1"/>
      <c r="J18" s="75" t="s">
        <v>427</v>
      </c>
      <c r="K18" s="76">
        <f>SQRT(K15/K16)</f>
        <v>1.3114995922228647</v>
      </c>
      <c r="L18" s="1"/>
      <c r="M18" s="75" t="s">
        <v>427</v>
      </c>
      <c r="N18" s="76">
        <f>SQRT(N15/N16)</f>
        <v>1.3114995922228647</v>
      </c>
      <c r="O18" s="1"/>
      <c r="P18" s="1"/>
    </row>
    <row r="19" spans="1:16" ht="15" thickBot="1">
      <c r="A19" s="48"/>
      <c r="B19" s="263" t="s">
        <v>10</v>
      </c>
      <c r="C19" s="263"/>
      <c r="D19" s="263"/>
      <c r="E19" s="48"/>
      <c r="F19" s="54" t="s">
        <v>381</v>
      </c>
      <c r="G19" s="55">
        <v>0.15</v>
      </c>
      <c r="H19" s="49" t="s">
        <v>74</v>
      </c>
      <c r="I19" s="1"/>
      <c r="J19" s="75" t="s">
        <v>87</v>
      </c>
      <c r="K19" s="76">
        <f>K17/(K18*K16)</f>
        <v>6.7880421435033367E-2</v>
      </c>
      <c r="L19" s="1"/>
      <c r="M19" s="75" t="s">
        <v>87</v>
      </c>
      <c r="N19" s="76">
        <f>N17/(N18*N16)</f>
        <v>6.4593806093400416E-2</v>
      </c>
      <c r="O19" s="1"/>
      <c r="P19" s="1"/>
    </row>
    <row r="20" spans="1:16" ht="15" thickBot="1">
      <c r="A20" s="48"/>
      <c r="B20" s="50" t="s">
        <v>30</v>
      </c>
      <c r="C20" s="65">
        <f>T_id</f>
        <v>1.695E-2</v>
      </c>
      <c r="D20" s="66" t="s">
        <v>74</v>
      </c>
      <c r="E20" s="48"/>
      <c r="F20" s="54" t="s">
        <v>383</v>
      </c>
      <c r="G20" s="55">
        <f>0.0048</f>
        <v>4.7999999999999996E-3</v>
      </c>
      <c r="H20" s="49" t="s">
        <v>74</v>
      </c>
      <c r="I20" s="1"/>
      <c r="J20" s="75" t="s">
        <v>30</v>
      </c>
      <c r="K20" s="76">
        <f>SQRT(K19*4/PI())</f>
        <v>0.29398645697442061</v>
      </c>
      <c r="L20" s="1"/>
      <c r="M20" s="75" t="s">
        <v>30</v>
      </c>
      <c r="N20" s="76">
        <f>SQRT(N19*4/PI())</f>
        <v>0.28678108072722042</v>
      </c>
      <c r="O20" s="1"/>
      <c r="P20" s="1"/>
    </row>
    <row r="21" spans="1:16" ht="15" thickBot="1">
      <c r="A21" s="48"/>
      <c r="B21" s="50" t="s">
        <v>11</v>
      </c>
      <c r="C21" s="65">
        <v>1.9050000000000001E-2</v>
      </c>
      <c r="D21" s="66"/>
      <c r="E21" s="48"/>
      <c r="F21" s="56" t="s">
        <v>368</v>
      </c>
      <c r="G21" s="57">
        <f>G15*(G17^2*0.25*3.14-(G20+C21)^2*0.25*3.14*'Kern Method'!H22)</f>
        <v>7.3997123191999988E-4</v>
      </c>
      <c r="H21" s="58" t="s">
        <v>369</v>
      </c>
      <c r="I21" s="1"/>
      <c r="J21" s="75" t="s">
        <v>354</v>
      </c>
      <c r="K21" s="76">
        <f>K20/2</f>
        <v>0.1469932284872103</v>
      </c>
      <c r="L21" s="1"/>
      <c r="M21" s="75" t="s">
        <v>354</v>
      </c>
      <c r="N21" s="76">
        <f>N20/2</f>
        <v>0.14339054036361021</v>
      </c>
      <c r="O21" s="1"/>
      <c r="P21" s="1"/>
    </row>
    <row r="22" spans="1:16" ht="15" thickBot="1">
      <c r="A22" s="48"/>
      <c r="B22" s="50" t="s">
        <v>353</v>
      </c>
      <c r="C22" s="65">
        <f>C21-C20</f>
        <v>2.1000000000000012E-3</v>
      </c>
      <c r="D22" s="66" t="s">
        <v>74</v>
      </c>
      <c r="E22" s="48"/>
      <c r="F22" s="1"/>
      <c r="G22" s="1"/>
      <c r="H22" s="1"/>
      <c r="I22" s="1"/>
      <c r="J22" s="75" t="s">
        <v>428</v>
      </c>
      <c r="K22" s="76">
        <v>0.85</v>
      </c>
      <c r="L22" s="1"/>
      <c r="M22" s="75" t="s">
        <v>428</v>
      </c>
      <c r="N22" s="76">
        <v>0.85</v>
      </c>
      <c r="O22" s="1"/>
      <c r="P22" s="1"/>
    </row>
    <row r="23" spans="1:16" ht="15" thickBot="1">
      <c r="A23" s="48"/>
      <c r="B23" s="50" t="s">
        <v>13</v>
      </c>
      <c r="C23" s="65" t="s">
        <v>190</v>
      </c>
      <c r="D23" s="66"/>
      <c r="E23" s="48"/>
      <c r="F23" s="271" t="s">
        <v>385</v>
      </c>
      <c r="G23" s="271"/>
      <c r="H23" s="271"/>
      <c r="I23" s="1"/>
      <c r="J23" s="75" t="s">
        <v>359</v>
      </c>
      <c r="K23" s="76">
        <f>((Properties!C4+1.4)*K20/2)/((K22*10*C13)-(0.6*14))+1/1000</f>
        <v>2.9580449084880538E-3</v>
      </c>
      <c r="L23" s="1"/>
      <c r="M23" s="75" t="s">
        <v>359</v>
      </c>
      <c r="N23" s="76">
        <f>((Properties!B4+1.4)*N20/2)/((N22*10*C13)-(0.6*14))+1/1000</f>
        <v>1.8558037613605315E-3</v>
      </c>
      <c r="O23" s="1"/>
      <c r="P23" s="1"/>
    </row>
    <row r="24" spans="1:16" ht="15" thickBot="1">
      <c r="A24" s="48"/>
      <c r="B24" s="50" t="s">
        <v>357</v>
      </c>
      <c r="C24" s="65">
        <v>15.4</v>
      </c>
      <c r="D24" s="66" t="s">
        <v>358</v>
      </c>
      <c r="E24" s="48"/>
      <c r="F24" s="60" t="s">
        <v>387</v>
      </c>
      <c r="G24" s="59">
        <v>1.2382499999999999</v>
      </c>
      <c r="H24" s="61" t="s">
        <v>74</v>
      </c>
      <c r="I24" s="1"/>
      <c r="J24" s="95" t="s">
        <v>368</v>
      </c>
      <c r="K24" s="77">
        <f>((K20+K23)^2-K20^2)*0.25*3.14*K21</f>
        <v>2.0170120451131472E-4</v>
      </c>
      <c r="L24" s="1"/>
      <c r="M24" s="95" t="s">
        <v>368</v>
      </c>
      <c r="N24" s="77">
        <f>((N23+N20)^2-+N20^2)*0.25*3.14*+N21</f>
        <v>1.202003205062697E-4</v>
      </c>
      <c r="O24" s="1"/>
      <c r="P24" s="1"/>
    </row>
    <row r="25" spans="1:16" ht="15" thickBot="1">
      <c r="A25" s="48"/>
      <c r="B25" s="50" t="s">
        <v>376</v>
      </c>
      <c r="C25" s="65">
        <f xml:space="preserve"> 1.25 * C24</f>
        <v>19.25</v>
      </c>
      <c r="D25" s="66" t="s">
        <v>377</v>
      </c>
      <c r="E25" s="48"/>
      <c r="F25" s="60" t="s">
        <v>335</v>
      </c>
      <c r="G25" s="59">
        <v>0.1143</v>
      </c>
      <c r="H25" s="61" t="s">
        <v>74</v>
      </c>
      <c r="I25" s="1"/>
      <c r="J25" s="1"/>
      <c r="K25" s="1"/>
      <c r="L25" s="48"/>
      <c r="M25" s="1"/>
      <c r="N25" s="1"/>
      <c r="O25" s="1"/>
      <c r="P25" s="1"/>
    </row>
    <row r="26" spans="1:16" ht="15" thickBot="1">
      <c r="A26" s="48"/>
      <c r="B26" s="50" t="s">
        <v>239</v>
      </c>
      <c r="C26" s="65">
        <f>'Kern Method'!H21</f>
        <v>4.8</v>
      </c>
      <c r="D26" s="66" t="s">
        <v>74</v>
      </c>
      <c r="E26" s="48"/>
      <c r="F26" s="60" t="s">
        <v>224</v>
      </c>
      <c r="G26" s="59">
        <v>1.08585</v>
      </c>
      <c r="H26" s="61" t="s">
        <v>74</v>
      </c>
      <c r="I26" s="1"/>
      <c r="J26" s="1"/>
      <c r="K26" s="1"/>
      <c r="L26" s="48"/>
      <c r="M26" s="1"/>
      <c r="N26" s="1"/>
      <c r="O26" s="1"/>
      <c r="P26" s="1"/>
    </row>
    <row r="27" spans="1:16" ht="15" thickBot="1">
      <c r="A27" s="48"/>
      <c r="B27" s="50" t="s">
        <v>380</v>
      </c>
      <c r="C27" s="65">
        <f>4</f>
        <v>4</v>
      </c>
      <c r="D27" s="66"/>
      <c r="E27" s="48"/>
      <c r="F27" s="60" t="s">
        <v>390</v>
      </c>
      <c r="G27" s="59">
        <v>1.04775</v>
      </c>
      <c r="H27" s="61" t="s">
        <v>74</v>
      </c>
      <c r="I27" s="1"/>
      <c r="J27" s="1"/>
      <c r="K27" s="1"/>
      <c r="L27" s="48"/>
      <c r="M27" s="1"/>
      <c r="N27" s="1"/>
      <c r="O27" s="1"/>
      <c r="P27" s="1"/>
    </row>
    <row r="28" spans="1:16" ht="15" thickBot="1">
      <c r="A28" s="48"/>
      <c r="B28" s="50" t="s">
        <v>18</v>
      </c>
      <c r="C28" s="65">
        <f>30</f>
        <v>30</v>
      </c>
      <c r="D28" s="66" t="s">
        <v>382</v>
      </c>
      <c r="E28" s="48"/>
      <c r="F28" s="60" t="s">
        <v>392</v>
      </c>
      <c r="G28" s="59">
        <v>0.193548</v>
      </c>
      <c r="H28" s="61" t="s">
        <v>74</v>
      </c>
      <c r="I28" s="1"/>
      <c r="J28" s="1"/>
      <c r="K28" s="1"/>
      <c r="L28" s="48"/>
      <c r="M28" s="1"/>
      <c r="N28" s="1"/>
      <c r="O28" s="1"/>
      <c r="P28" s="1"/>
    </row>
    <row r="29" spans="1:16" ht="15" thickBot="1">
      <c r="A29" s="48"/>
      <c r="B29" s="50" t="s">
        <v>20</v>
      </c>
      <c r="C29" s="65">
        <f>1.25*0.0254</f>
        <v>3.175E-2</v>
      </c>
      <c r="D29" s="66" t="s">
        <v>74</v>
      </c>
      <c r="E29" s="48"/>
      <c r="F29" s="60" t="s">
        <v>87</v>
      </c>
      <c r="G29" s="59">
        <v>1.016</v>
      </c>
      <c r="H29" s="61" t="s">
        <v>74</v>
      </c>
      <c r="I29" s="1"/>
      <c r="J29" s="1"/>
      <c r="K29" s="1"/>
      <c r="L29" s="48"/>
      <c r="M29" s="1"/>
      <c r="N29" s="1"/>
      <c r="O29" s="1"/>
      <c r="P29" s="1"/>
    </row>
    <row r="30" spans="1:16">
      <c r="A30" s="48"/>
      <c r="B30" s="52" t="s">
        <v>368</v>
      </c>
      <c r="C30" s="67">
        <f>((C21^2)-(C20^2))*0.25*PI()*C26</f>
        <v>2.8500528553366622E-4</v>
      </c>
      <c r="D30" s="68" t="s">
        <v>369</v>
      </c>
      <c r="E30" s="48"/>
      <c r="F30" s="60" t="s">
        <v>395</v>
      </c>
      <c r="G30" s="59">
        <v>4.4449999999999996E-2</v>
      </c>
      <c r="H30" s="61" t="s">
        <v>74</v>
      </c>
      <c r="I30" s="1"/>
      <c r="J30" s="1"/>
      <c r="K30" s="1"/>
      <c r="L30" s="48"/>
      <c r="M30" s="1"/>
      <c r="N30" s="1"/>
      <c r="O30" s="1"/>
      <c r="P30" s="1"/>
    </row>
    <row r="31" spans="1:16">
      <c r="A31" s="48"/>
      <c r="B31" s="1"/>
      <c r="C31" s="1"/>
      <c r="D31" s="1"/>
      <c r="E31" s="48"/>
      <c r="F31" s="60" t="s">
        <v>396</v>
      </c>
      <c r="G31" s="59">
        <v>32</v>
      </c>
      <c r="H31" s="61"/>
      <c r="I31" s="1"/>
      <c r="J31" s="1"/>
      <c r="K31" s="1"/>
      <c r="L31" s="48"/>
      <c r="M31" s="1"/>
      <c r="N31" s="1"/>
      <c r="O31" s="1"/>
      <c r="P31" s="1"/>
    </row>
    <row r="32" spans="1:16" ht="15" thickBot="1">
      <c r="A32" s="48"/>
      <c r="B32" s="264" t="s">
        <v>384</v>
      </c>
      <c r="C32" s="264"/>
      <c r="D32" s="264"/>
      <c r="E32" s="48"/>
      <c r="F32" s="62" t="s">
        <v>397</v>
      </c>
      <c r="G32" s="63">
        <v>6</v>
      </c>
      <c r="H32" s="64"/>
      <c r="I32" s="1"/>
      <c r="J32" s="1"/>
      <c r="K32" s="1"/>
      <c r="L32" s="48"/>
      <c r="M32" s="1"/>
      <c r="N32" s="1"/>
      <c r="O32" s="1"/>
      <c r="P32" s="1"/>
    </row>
    <row r="33" spans="1:16" ht="15" thickBot="1">
      <c r="A33" s="48"/>
      <c r="B33" s="69" t="s">
        <v>370</v>
      </c>
      <c r="C33" s="51" t="s">
        <v>386</v>
      </c>
      <c r="D33" s="70"/>
      <c r="E33" s="48"/>
      <c r="F33" s="1"/>
      <c r="G33" s="1"/>
      <c r="H33" s="1"/>
      <c r="I33" s="1"/>
      <c r="J33" s="1"/>
      <c r="K33" s="1"/>
      <c r="L33" s="48"/>
      <c r="M33" s="1"/>
      <c r="N33" s="1"/>
      <c r="O33" s="1"/>
      <c r="P33" s="1"/>
    </row>
    <row r="34" spans="1:16" ht="15" thickBot="1">
      <c r="A34" s="48"/>
      <c r="B34" s="69" t="s">
        <v>13</v>
      </c>
      <c r="C34" s="51" t="s">
        <v>16</v>
      </c>
      <c r="D34" s="70"/>
      <c r="E34" s="48"/>
      <c r="F34" s="254"/>
      <c r="G34" s="254"/>
      <c r="H34" s="254"/>
      <c r="I34" s="1"/>
      <c r="J34" s="1"/>
      <c r="K34" s="1"/>
      <c r="L34" s="48"/>
      <c r="M34" s="1"/>
      <c r="N34" s="1"/>
      <c r="O34" s="1"/>
      <c r="P34" s="1"/>
    </row>
    <row r="35" spans="1:16" ht="15" thickBot="1">
      <c r="A35" s="48"/>
      <c r="B35" s="69" t="s">
        <v>353</v>
      </c>
      <c r="C35" s="51">
        <f>0.75*C21</f>
        <v>1.4287500000000002E-2</v>
      </c>
      <c r="D35" s="70" t="s">
        <v>74</v>
      </c>
      <c r="E35" s="48"/>
      <c r="F35" s="1"/>
      <c r="G35" s="1"/>
      <c r="H35" s="1"/>
      <c r="I35" s="1"/>
      <c r="J35" s="1"/>
      <c r="K35" s="1"/>
      <c r="L35" s="48"/>
      <c r="M35" s="1"/>
      <c r="N35" s="1"/>
      <c r="O35" s="1"/>
      <c r="P35" s="1"/>
    </row>
    <row r="36" spans="1:16" ht="15" thickBot="1">
      <c r="A36" s="48"/>
      <c r="B36" s="69" t="s">
        <v>388</v>
      </c>
      <c r="C36" s="51" t="s">
        <v>389</v>
      </c>
      <c r="D36" s="70" t="s">
        <v>74</v>
      </c>
      <c r="E36" s="48"/>
      <c r="F36" s="1"/>
      <c r="G36" s="1"/>
      <c r="H36" s="1"/>
      <c r="I36" s="1"/>
      <c r="J36" s="1"/>
      <c r="K36" s="1"/>
      <c r="L36" s="48"/>
      <c r="M36" s="1"/>
      <c r="N36" s="1"/>
      <c r="O36" s="1"/>
      <c r="P36" s="1"/>
    </row>
    <row r="37" spans="1:16" ht="15" thickBot="1">
      <c r="A37" s="48"/>
      <c r="B37" s="69" t="s">
        <v>391</v>
      </c>
      <c r="C37" s="51">
        <v>3.2000000000000001E-2</v>
      </c>
      <c r="D37" s="70" t="s">
        <v>74</v>
      </c>
      <c r="E37" s="48"/>
      <c r="F37" s="1"/>
      <c r="G37" s="1"/>
      <c r="H37" s="1"/>
      <c r="I37" s="1"/>
      <c r="J37" s="1"/>
      <c r="K37" s="1"/>
      <c r="L37" s="48"/>
      <c r="M37" s="1"/>
      <c r="N37" s="1"/>
      <c r="O37" s="1"/>
      <c r="P37" s="1"/>
    </row>
    <row r="38" spans="1:16" ht="15" thickBot="1">
      <c r="A38" s="48"/>
      <c r="B38" s="69" t="s">
        <v>393</v>
      </c>
      <c r="C38" s="51">
        <f xml:space="preserve"> C35 + C37</f>
        <v>4.6287500000000002E-2</v>
      </c>
      <c r="D38" s="70" t="s">
        <v>74</v>
      </c>
      <c r="E38" s="48"/>
      <c r="F38" s="1"/>
      <c r="G38" s="1"/>
      <c r="H38" s="1"/>
      <c r="I38" s="1"/>
      <c r="J38" s="1"/>
      <c r="K38" s="1"/>
      <c r="L38" s="48"/>
      <c r="M38" s="1"/>
      <c r="N38" s="1"/>
      <c r="O38" s="1"/>
      <c r="P38" s="1"/>
    </row>
    <row r="39" spans="1:16" ht="15" thickBot="1">
      <c r="A39" s="48"/>
      <c r="B39" s="69" t="s">
        <v>394</v>
      </c>
      <c r="C39" s="51">
        <v>137</v>
      </c>
      <c r="D39" s="70" t="s">
        <v>364</v>
      </c>
      <c r="E39" s="48"/>
      <c r="F39" s="1"/>
      <c r="G39" s="1"/>
      <c r="H39" s="1"/>
      <c r="I39" s="1"/>
      <c r="J39" s="1"/>
      <c r="K39" s="1"/>
      <c r="L39" s="48"/>
      <c r="M39" s="1"/>
      <c r="N39" s="1"/>
      <c r="O39" s="1"/>
      <c r="P39" s="1"/>
    </row>
    <row r="40" spans="1:16">
      <c r="A40" s="48"/>
      <c r="B40" s="71" t="s">
        <v>368</v>
      </c>
      <c r="C40" s="53">
        <f>((C11^2*3.14*0.25)-('Kern Method'!H22*'Mech Design'!C21^2*3.14*0.25))*'Mech Design'!C35</f>
        <v>4.9760693164589065E-3</v>
      </c>
      <c r="D40" s="72" t="s">
        <v>369</v>
      </c>
      <c r="E40" s="48"/>
      <c r="F40" s="1"/>
      <c r="G40" s="1"/>
      <c r="H40" s="1"/>
      <c r="I40" s="1"/>
      <c r="J40" s="1"/>
      <c r="K40" s="1"/>
      <c r="L40" s="48"/>
      <c r="M40" s="1"/>
      <c r="N40" s="1"/>
      <c r="O40" s="1"/>
      <c r="P40" s="1"/>
    </row>
    <row r="41" spans="1:16">
      <c r="A41" s="1"/>
      <c r="B41" s="48"/>
      <c r="C41" s="48"/>
      <c r="D41" s="48"/>
      <c r="E41" s="4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1:16">
      <c r="A42" s="1"/>
      <c r="B42" s="262" t="s">
        <v>398</v>
      </c>
      <c r="C42" s="262"/>
      <c r="D42" s="262"/>
      <c r="E42" s="4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1:16" ht="15" thickBot="1">
      <c r="A43" s="1"/>
      <c r="B43" s="263"/>
      <c r="C43" s="263"/>
      <c r="D43" s="263"/>
      <c r="E43" s="4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1:16" ht="15" thickBot="1">
      <c r="A44" s="1"/>
      <c r="B44" s="54" t="s">
        <v>399</v>
      </c>
      <c r="C44" s="55" t="s">
        <v>400</v>
      </c>
      <c r="D44" s="49"/>
      <c r="E44" s="48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1:16" ht="15" thickBot="1">
      <c r="A45" s="1"/>
      <c r="B45" s="54" t="s">
        <v>13</v>
      </c>
      <c r="C45" s="55" t="s">
        <v>16</v>
      </c>
      <c r="D45" s="49"/>
      <c r="E45" s="4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1:16" ht="15" thickBot="1">
      <c r="A46" s="1"/>
      <c r="B46" s="54" t="s">
        <v>401</v>
      </c>
      <c r="C46" s="55">
        <f>C11</f>
        <v>1</v>
      </c>
      <c r="D46" s="49" t="s">
        <v>74</v>
      </c>
      <c r="E46" s="4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1:16" ht="15" thickBot="1">
      <c r="A47" s="1"/>
      <c r="B47" s="54" t="s">
        <v>402</v>
      </c>
      <c r="C47" s="55">
        <f>C46/2</f>
        <v>0.5</v>
      </c>
      <c r="D47" s="49" t="s">
        <v>74</v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1:16" ht="15" thickBot="1">
      <c r="A48" s="1"/>
      <c r="B48" s="54" t="s">
        <v>391</v>
      </c>
      <c r="C48" s="55">
        <v>3.2000000000000002E-3</v>
      </c>
      <c r="D48" s="49" t="s">
        <v>367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1:16" ht="15" thickBot="1">
      <c r="A49" s="1"/>
      <c r="B49" s="54" t="s">
        <v>353</v>
      </c>
      <c r="C49" s="55">
        <f>C46*C24/(2*C39*10*0.85-0.2*C24)</f>
        <v>6.6210359771617256E-3</v>
      </c>
      <c r="D49" s="49" t="s">
        <v>367</v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1:16">
      <c r="A50" s="1"/>
      <c r="B50" s="56" t="s">
        <v>368</v>
      </c>
      <c r="C50" s="57">
        <f>(((C49+C46)^2-C46^2)*PI()*0.25)*C47</f>
        <v>5.2173646847018451E-3</v>
      </c>
      <c r="D50" s="58" t="s">
        <v>369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</sheetData>
  <protectedRanges>
    <protectedRange algorithmName="SHA-512" hashValue="/IKvqOUTQLkGKXjNh2JI2P26R6DpoG43beIsuE01ZiulelWU64LAQr6iYOlGJuvq3oG28c2RkZxnFWP2tdZIaQ==" saltValue="P0QFS59HjGEgSKJEn8ZNzA==" spinCount="100000" sqref="E10:E25 B19:D31" name="Range1_7"/>
    <protectedRange algorithmName="SHA-512" hashValue="/IKvqOUTQLkGKXjNh2JI2P26R6DpoG43beIsuE01ZiulelWU64LAQr6iYOlGJuvq3oG28c2RkZxnFWP2tdZIaQ==" saltValue="P0QFS59HjGEgSKJEn8ZNzA==" spinCount="100000" sqref="F11:H21" name="Range1_2_2"/>
    <protectedRange algorithmName="SHA-512" hashValue="/IKvqOUTQLkGKXjNh2JI2P26R6DpoG43beIsuE01ZiulelWU64LAQr6iYOlGJuvq3oG28c2RkZxnFWP2tdZIaQ==" saltValue="P0QFS59HjGEgSKJEn8ZNzA==" spinCount="100000" sqref="F33:H34 I36:K40 F44:H46 F22:H31 G35:H35 G43 F35:F42 G36:G40 H36:H43 B10:C17 I26:K33 I15:I24" name="Range1_5_2"/>
    <protectedRange algorithmName="SHA-512" hashValue="/IKvqOUTQLkGKXjNh2JI2P26R6DpoG43beIsuE01ZiulelWU64LAQr6iYOlGJuvq3oG28c2RkZxnFWP2tdZIaQ==" saltValue="P0QFS59HjGEgSKJEn8ZNzA==" spinCount="100000" sqref="D42 B50:D50 K5:K8 N5:N8 L4:L9 K17:K20 N17:N20 C43:D49 B42:B49" name="Range1_6_2"/>
    <protectedRange algorithmName="SHA-512" hashValue="/IKvqOUTQLkGKXjNh2JI2P26R6DpoG43beIsuE01ZiulelWU64LAQr6iYOlGJuvq3oG28c2RkZxnFWP2tdZIaQ==" saltValue="P0QFS59HjGEgSKJEn8ZNzA==" spinCount="100000" sqref="K9:K11 N9:N11 K21:K23 N21:N23" name="Range1_8_2"/>
    <protectedRange algorithmName="SHA-512" hashValue="/IKvqOUTQLkGKXjNh2JI2P26R6DpoG43beIsuE01ZiulelWU64LAQr6iYOlGJuvq3oG28c2RkZxnFWP2tdZIaQ==" saltValue="P0QFS59HjGEgSKJEn8ZNzA==" spinCount="100000" sqref="B32:D40 K4 K1:L2 N4 N2 K16 K14 N16 N14" name="Range1_11_2"/>
    <protectedRange algorithmName="SHA-512" hashValue="/IKvqOUTQLkGKXjNh2JI2P26R6DpoG43beIsuE01ZiulelWU64LAQr6iYOlGJuvq3oG28c2RkZxnFWP2tdZIaQ==" saltValue="P0QFS59HjGEgSKJEn8ZNzA==" spinCount="100000" sqref="B3:D9" name="Range1_1_1_2_4"/>
    <protectedRange algorithmName="SHA-512" hashValue="/IKvqOUTQLkGKXjNh2JI2P26R6DpoG43beIsuE01ZiulelWU64LAQr6iYOlGJuvq3oG28c2RkZxnFWP2tdZIaQ==" saltValue="P0QFS59HjGEgSKJEn8ZNzA==" spinCount="100000" sqref="F2:H6" name="Range1_3_2_1"/>
    <protectedRange algorithmName="SHA-512" hashValue="/IKvqOUTQLkGKXjNh2JI2P26R6DpoG43beIsuE01ZiulelWU64LAQr6iYOlGJuvq3oG28c2RkZxnFWP2tdZIaQ==" saltValue="P0QFS59HjGEgSKJEn8ZNzA==" spinCount="100000" sqref="F7:H9" name="Range1_4_2_1"/>
  </protectedRanges>
  <mergeCells count="13">
    <mergeCell ref="M2:N2"/>
    <mergeCell ref="J14:K14"/>
    <mergeCell ref="M14:N14"/>
    <mergeCell ref="B42:D43"/>
    <mergeCell ref="B32:D32"/>
    <mergeCell ref="B2:D2"/>
    <mergeCell ref="F2:H2"/>
    <mergeCell ref="J2:K2"/>
    <mergeCell ref="B19:D19"/>
    <mergeCell ref="F11:H11"/>
    <mergeCell ref="F34:H34"/>
    <mergeCell ref="F7:H7"/>
    <mergeCell ref="F23:H2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5B8E0-82B6-4659-B037-1BA9E5D4238F}">
  <sheetPr codeName="Sheet5"/>
  <dimension ref="A1:F20"/>
  <sheetViews>
    <sheetView showGridLines="0" zoomScaleNormal="100" workbookViewId="0">
      <selection activeCell="D21" sqref="D21"/>
    </sheetView>
  </sheetViews>
  <sheetFormatPr defaultRowHeight="14"/>
  <cols>
    <col min="1" max="1" width="19.453125" style="1" bestFit="1" customWidth="1"/>
    <col min="2" max="2" width="12.26953125" style="1" bestFit="1" customWidth="1"/>
    <col min="3" max="3" width="11.81640625" style="1" bestFit="1" customWidth="1"/>
    <col min="4" max="4" width="18" style="1" bestFit="1" customWidth="1"/>
    <col min="5" max="5" width="12.26953125" style="1" bestFit="1" customWidth="1"/>
    <col min="6" max="6" width="11.81640625" style="1" bestFit="1" customWidth="1"/>
    <col min="7" max="16384" width="8.7265625" style="1"/>
  </cols>
  <sheetData>
    <row r="1" spans="1:6">
      <c r="A1" s="273" t="s">
        <v>403</v>
      </c>
      <c r="B1" s="273"/>
      <c r="C1" s="273"/>
      <c r="D1" s="272" t="s">
        <v>404</v>
      </c>
      <c r="E1" s="272"/>
      <c r="F1" s="272"/>
    </row>
    <row r="2" spans="1:6">
      <c r="A2" s="273"/>
      <c r="B2" s="273"/>
      <c r="C2" s="273"/>
      <c r="D2" s="272"/>
      <c r="E2" s="272"/>
      <c r="F2" s="272"/>
    </row>
    <row r="3" spans="1:6">
      <c r="A3" s="100" t="s">
        <v>16</v>
      </c>
      <c r="B3" s="100">
        <v>7800</v>
      </c>
      <c r="C3" s="100" t="s">
        <v>405</v>
      </c>
      <c r="D3" s="99" t="s">
        <v>16</v>
      </c>
      <c r="E3" s="99">
        <v>7800</v>
      </c>
      <c r="F3" s="99" t="s">
        <v>405</v>
      </c>
    </row>
    <row r="4" spans="1:6">
      <c r="A4" s="97" t="s">
        <v>406</v>
      </c>
      <c r="B4" s="97" t="s">
        <v>407</v>
      </c>
      <c r="C4" s="97" t="s">
        <v>408</v>
      </c>
      <c r="D4" s="98" t="s">
        <v>406</v>
      </c>
      <c r="E4" s="98" t="s">
        <v>407</v>
      </c>
      <c r="F4" s="98" t="s">
        <v>408</v>
      </c>
    </row>
    <row r="5" spans="1:6">
      <c r="A5" s="100" t="s">
        <v>29</v>
      </c>
      <c r="B5" s="100">
        <f>'Mech Design'!C17</f>
        <v>2.7133829579999966E-2</v>
      </c>
      <c r="C5" s="100">
        <f>(B5)*B3</f>
        <v>211.64387072399973</v>
      </c>
      <c r="D5" s="99" t="s">
        <v>409</v>
      </c>
      <c r="E5" s="99">
        <f>'Mech Design'!C30</f>
        <v>2.8500528553366622E-4</v>
      </c>
      <c r="F5" s="99"/>
    </row>
    <row r="6" spans="1:6">
      <c r="A6" s="100" t="s">
        <v>412</v>
      </c>
      <c r="B6" s="100">
        <f>'Mech Design'!K12+'Mech Design'!N12+'Mech Design'!N24+'Mech Design'!K24</f>
        <v>5.4681466636965917E-4</v>
      </c>
      <c r="C6" s="100">
        <f>B6*B3</f>
        <v>4.2651543976833413</v>
      </c>
      <c r="D6" s="99" t="s">
        <v>410</v>
      </c>
      <c r="E6" s="99">
        <f>'Bell Method'!P115</f>
        <v>1341</v>
      </c>
      <c r="F6" s="99"/>
    </row>
    <row r="7" spans="1:6">
      <c r="A7" s="100" t="s">
        <v>414</v>
      </c>
      <c r="B7" s="100">
        <f>'Mech Design'!C40</f>
        <v>4.9760693164589065E-3</v>
      </c>
      <c r="C7" s="100">
        <f>B7*B3</f>
        <v>38.813340668379468</v>
      </c>
      <c r="D7" s="99" t="s">
        <v>411</v>
      </c>
      <c r="E7" s="99">
        <f>E6*E5</f>
        <v>0.3821920879006464</v>
      </c>
      <c r="F7" s="99">
        <f>E7*E3</f>
        <v>2981.0982856250421</v>
      </c>
    </row>
    <row r="8" spans="1:6">
      <c r="A8" s="100" t="s">
        <v>415</v>
      </c>
      <c r="B8" s="100">
        <f>'Mech Design'!C50</f>
        <v>5.2173646847018451E-3</v>
      </c>
      <c r="C8" s="100">
        <f>B8*B3</f>
        <v>40.695444540674394</v>
      </c>
      <c r="D8" s="99" t="s">
        <v>413</v>
      </c>
      <c r="E8" s="99">
        <f>'Mech Design'!C40</f>
        <v>4.9760693164589065E-3</v>
      </c>
      <c r="F8" s="99">
        <f>E8*E3</f>
        <v>38.813340668379468</v>
      </c>
    </row>
    <row r="9" spans="1:6">
      <c r="A9" s="100" t="s">
        <v>420</v>
      </c>
      <c r="B9" s="100"/>
      <c r="C9" s="101">
        <f xml:space="preserve"> SUM(C5:C8)</f>
        <v>295.41781033073693</v>
      </c>
      <c r="D9" s="99" t="s">
        <v>416</v>
      </c>
      <c r="E9" s="99">
        <f>'Mech Design'!G5^2*'Mech Design'!G6*0.25*3.14</f>
        <v>1.5193518E-4</v>
      </c>
      <c r="F9" s="99"/>
    </row>
    <row r="10" spans="1:6">
      <c r="A10" s="100"/>
      <c r="B10" s="100"/>
      <c r="C10" s="100"/>
      <c r="D10" s="99" t="s">
        <v>417</v>
      </c>
      <c r="E10" s="99">
        <v>8</v>
      </c>
      <c r="F10" s="99"/>
    </row>
    <row r="11" spans="1:6">
      <c r="A11" s="100"/>
      <c r="B11" s="100"/>
      <c r="C11" s="100"/>
      <c r="D11" s="99" t="s">
        <v>348</v>
      </c>
      <c r="E11" s="99">
        <f>E10*E9</f>
        <v>1.21548144E-3</v>
      </c>
      <c r="F11" s="99">
        <f>E3*E11</f>
        <v>9.4807552319999999</v>
      </c>
    </row>
    <row r="12" spans="1:6">
      <c r="A12" s="100"/>
      <c r="B12" s="100"/>
      <c r="C12" s="100"/>
      <c r="D12" s="99" t="s">
        <v>418</v>
      </c>
      <c r="E12" s="99">
        <f>'Mech Design'!G21</f>
        <v>7.3997123191999988E-4</v>
      </c>
      <c r="F12" s="99"/>
    </row>
    <row r="13" spans="1:6">
      <c r="A13" s="100" t="s">
        <v>469</v>
      </c>
      <c r="B13" s="100"/>
      <c r="C13" s="100">
        <v>50</v>
      </c>
      <c r="D13" s="99" t="s">
        <v>419</v>
      </c>
      <c r="E13" s="99">
        <v>6</v>
      </c>
      <c r="F13" s="99"/>
    </row>
    <row r="14" spans="1:6">
      <c r="A14" s="100"/>
      <c r="B14" s="100"/>
      <c r="C14" s="100"/>
      <c r="D14" s="99" t="s">
        <v>372</v>
      </c>
      <c r="E14" s="99">
        <f>E13*E12</f>
        <v>4.4398273915199991E-3</v>
      </c>
      <c r="F14" s="99">
        <f>E14*E3</f>
        <v>34.630653653855994</v>
      </c>
    </row>
    <row r="15" spans="1:6">
      <c r="A15" s="100"/>
      <c r="B15" s="100"/>
      <c r="C15" s="100"/>
      <c r="D15" s="99" t="s">
        <v>420</v>
      </c>
      <c r="E15" s="99"/>
      <c r="F15" s="99">
        <f>SUM(F5:F14)</f>
        <v>3064.0230351792775</v>
      </c>
    </row>
    <row r="17" spans="1:3">
      <c r="A17" s="274" t="s">
        <v>470</v>
      </c>
      <c r="B17" s="244">
        <f>F15+C9+C13</f>
        <v>3409.4408455100142</v>
      </c>
      <c r="C17" s="243" t="s">
        <v>468</v>
      </c>
    </row>
    <row r="18" spans="1:3">
      <c r="A18" s="274"/>
      <c r="B18" s="243">
        <f>B17/1000</f>
        <v>3.409440845510014</v>
      </c>
      <c r="C18" s="243" t="s">
        <v>467</v>
      </c>
    </row>
    <row r="19" spans="1:3">
      <c r="A19" s="243" t="s">
        <v>471</v>
      </c>
      <c r="B19" s="243">
        <f>0.25*3.14*('Mech Design'!C11*'Mech Design'!C26+'Mech Design'!C46*'Mech Design'!C11)*1000</f>
        <v>4553</v>
      </c>
      <c r="C19" s="243"/>
    </row>
    <row r="20" spans="1:3">
      <c r="A20" s="243" t="s">
        <v>420</v>
      </c>
      <c r="B20" s="244">
        <f>B17+B19</f>
        <v>7962.4408455100147</v>
      </c>
      <c r="C20" s="243"/>
    </row>
  </sheetData>
  <mergeCells count="3">
    <mergeCell ref="D1:F2"/>
    <mergeCell ref="A1:C2"/>
    <mergeCell ref="A17:A18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A185-15D5-4490-B5B1-FE7AE4628D78}">
  <sheetPr codeName="Sheet7"/>
  <dimension ref="A1:K34"/>
  <sheetViews>
    <sheetView showGridLines="0" topLeftCell="B1" zoomScale="85" zoomScaleNormal="85" workbookViewId="0">
      <selection activeCell="E36" sqref="E36"/>
    </sheetView>
  </sheetViews>
  <sheetFormatPr defaultRowHeight="14.5"/>
  <cols>
    <col min="3" max="3" width="9.26953125" bestFit="1" customWidth="1"/>
    <col min="4" max="4" width="34.54296875" bestFit="1" customWidth="1"/>
    <col min="5" max="5" width="41.54296875" customWidth="1"/>
    <col min="7" max="7" width="71.6328125" bestFit="1" customWidth="1"/>
    <col min="8" max="8" width="14.90625" bestFit="1" customWidth="1"/>
    <col min="10" max="10" width="49.6328125" bestFit="1" customWidth="1"/>
    <col min="11" max="11" width="47.26953125" bestFit="1" customWidth="1"/>
  </cols>
  <sheetData>
    <row r="1" spans="1:11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</row>
    <row r="2" spans="1:11">
      <c r="A2" s="102"/>
      <c r="B2" s="102"/>
      <c r="C2" s="275" t="s">
        <v>439</v>
      </c>
      <c r="D2" s="276"/>
      <c r="E2" s="277"/>
      <c r="F2" s="102"/>
      <c r="G2" s="278" t="s">
        <v>440</v>
      </c>
      <c r="H2" s="279"/>
      <c r="I2" s="102"/>
      <c r="J2" s="102"/>
      <c r="K2" s="102"/>
    </row>
    <row r="3" spans="1:11" ht="36.5" customHeight="1">
      <c r="A3" s="102"/>
      <c r="B3" s="102"/>
      <c r="C3" s="116" t="s">
        <v>441</v>
      </c>
      <c r="D3" s="117" t="s">
        <v>442</v>
      </c>
      <c r="E3" s="118" t="s">
        <v>443</v>
      </c>
      <c r="F3" s="102"/>
      <c r="G3" s="105" t="s">
        <v>444</v>
      </c>
      <c r="H3" s="106">
        <f>D30</f>
        <v>4680.1195878880162</v>
      </c>
      <c r="I3" s="102"/>
      <c r="J3" s="280" t="s">
        <v>445</v>
      </c>
      <c r="K3" s="281"/>
    </row>
    <row r="4" spans="1:11">
      <c r="A4" s="102"/>
      <c r="B4" s="102"/>
      <c r="C4" s="119">
        <v>1975</v>
      </c>
      <c r="D4" s="119">
        <v>182</v>
      </c>
      <c r="E4" s="119">
        <v>452</v>
      </c>
      <c r="F4" s="102"/>
      <c r="G4" s="105" t="s">
        <v>446</v>
      </c>
      <c r="H4" s="107">
        <v>1</v>
      </c>
      <c r="I4" s="102"/>
      <c r="J4" s="130" t="s">
        <v>447</v>
      </c>
      <c r="K4" s="131" t="s">
        <v>190</v>
      </c>
    </row>
    <row r="5" spans="1:11">
      <c r="A5" s="102"/>
      <c r="B5" s="102"/>
      <c r="C5" s="119">
        <v>1980</v>
      </c>
      <c r="D5" s="119">
        <v>261</v>
      </c>
      <c r="E5" s="119">
        <v>675</v>
      </c>
      <c r="F5" s="102"/>
      <c r="G5" s="105" t="s">
        <v>448</v>
      </c>
      <c r="H5" s="108">
        <f xml:space="preserve"> 1</f>
        <v>1</v>
      </c>
      <c r="I5" s="102"/>
      <c r="J5" s="130" t="s">
        <v>449</v>
      </c>
      <c r="K5" s="131">
        <v>900</v>
      </c>
    </row>
    <row r="6" spans="1:11">
      <c r="A6" s="102"/>
      <c r="B6" s="102"/>
      <c r="C6" s="119">
        <v>1985</v>
      </c>
      <c r="D6" s="119">
        <v>325</v>
      </c>
      <c r="E6" s="119">
        <v>813</v>
      </c>
      <c r="F6" s="102"/>
      <c r="G6" s="105" t="s">
        <v>450</v>
      </c>
      <c r="H6" s="109">
        <v>1</v>
      </c>
      <c r="I6" s="102"/>
      <c r="J6" s="130" t="s">
        <v>451</v>
      </c>
      <c r="K6" s="131">
        <f>weight!B18</f>
        <v>3.409440845510014</v>
      </c>
    </row>
    <row r="7" spans="1:11">
      <c r="A7" s="102"/>
      <c r="B7" s="102"/>
      <c r="C7" s="119">
        <v>1986</v>
      </c>
      <c r="D7" s="119">
        <v>316</v>
      </c>
      <c r="E7" s="119" t="s">
        <v>360</v>
      </c>
      <c r="F7" s="102"/>
      <c r="G7" s="105" t="s">
        <v>452</v>
      </c>
      <c r="H7" s="109">
        <f>EXP(8.821 - 0.30863*LN(H3) + 0.0681*LN(H3)^2)</f>
        <v>64633.981352049632</v>
      </c>
      <c r="I7" s="102"/>
      <c r="J7" s="132" t="s">
        <v>453</v>
      </c>
      <c r="K7" s="133">
        <f>K5*K6</f>
        <v>3068.4967609590126</v>
      </c>
    </row>
    <row r="8" spans="1:11">
      <c r="A8" s="102"/>
      <c r="B8" s="102"/>
      <c r="C8" s="119">
        <v>1990</v>
      </c>
      <c r="D8" s="119">
        <v>326</v>
      </c>
      <c r="E8" s="119">
        <v>924</v>
      </c>
      <c r="F8" s="102"/>
      <c r="G8" s="105" t="s">
        <v>454</v>
      </c>
      <c r="H8" s="109">
        <f xml:space="preserve"> H7 * H4 * H6 * H5</f>
        <v>64633.981352049632</v>
      </c>
      <c r="I8" s="102"/>
      <c r="J8" s="1"/>
      <c r="K8" s="1"/>
    </row>
    <row r="9" spans="1:11">
      <c r="A9" s="102"/>
      <c r="B9" s="102"/>
      <c r="C9" s="119">
        <v>1991</v>
      </c>
      <c r="D9" s="119">
        <v>361.3</v>
      </c>
      <c r="E9" s="119" t="s">
        <v>360</v>
      </c>
      <c r="F9" s="102"/>
      <c r="G9" s="105" t="s">
        <v>455</v>
      </c>
      <c r="H9" s="108">
        <v>1985</v>
      </c>
      <c r="I9" s="102"/>
      <c r="J9" s="102"/>
      <c r="K9" s="102"/>
    </row>
    <row r="10" spans="1:11">
      <c r="A10" s="102"/>
      <c r="B10" s="102"/>
      <c r="C10" s="119">
        <v>1992</v>
      </c>
      <c r="D10" s="119">
        <v>358.2</v>
      </c>
      <c r="E10" s="119">
        <v>972</v>
      </c>
      <c r="F10" s="102"/>
      <c r="G10" s="105" t="s">
        <v>456</v>
      </c>
      <c r="H10" s="108">
        <f>C26</f>
        <v>2021</v>
      </c>
      <c r="I10" s="102"/>
      <c r="J10" s="102"/>
      <c r="K10" s="102"/>
    </row>
    <row r="11" spans="1:11">
      <c r="A11" s="102"/>
      <c r="B11" s="102"/>
      <c r="C11" s="119">
        <v>1995</v>
      </c>
      <c r="D11" s="119">
        <v>373.7</v>
      </c>
      <c r="E11" s="119">
        <v>1044</v>
      </c>
      <c r="F11" s="102"/>
      <c r="G11" s="105" t="s">
        <v>457</v>
      </c>
      <c r="H11" s="108">
        <f xml:space="preserve"> H8 * (D26)/(10.006*H9 - 19575)</f>
        <v>157693.30781929792</v>
      </c>
      <c r="I11" s="102"/>
      <c r="J11" s="102"/>
      <c r="K11" s="102"/>
    </row>
    <row r="12" spans="1:11">
      <c r="A12" s="102"/>
      <c r="B12" s="102"/>
      <c r="C12" s="119">
        <v>1997</v>
      </c>
      <c r="D12" s="119">
        <v>384</v>
      </c>
      <c r="E12" s="119">
        <v>1092</v>
      </c>
      <c r="F12" s="102"/>
      <c r="G12" s="120" t="s">
        <v>458</v>
      </c>
      <c r="H12" s="110">
        <f xml:space="preserve"> H8 * ( 26.592*H10 - 52020) /  (26.592*H9 - 52020)</f>
        <v>145503.49980156613</v>
      </c>
      <c r="I12" s="102"/>
      <c r="J12" s="102"/>
      <c r="K12" s="102"/>
    </row>
    <row r="13" spans="1:11">
      <c r="A13" s="102"/>
      <c r="B13" s="102"/>
      <c r="C13" s="119">
        <v>1998</v>
      </c>
      <c r="D13" s="119">
        <v>389.5</v>
      </c>
      <c r="E13" s="119" t="s">
        <v>360</v>
      </c>
      <c r="F13" s="102"/>
      <c r="G13" s="102"/>
      <c r="H13" s="102"/>
      <c r="I13" s="102"/>
      <c r="J13" s="102"/>
      <c r="K13" s="102"/>
    </row>
    <row r="14" spans="1:11">
      <c r="A14" s="102"/>
      <c r="B14" s="102"/>
      <c r="C14" s="119">
        <v>2001</v>
      </c>
      <c r="D14" s="119">
        <v>394.1</v>
      </c>
      <c r="E14" s="119">
        <v>1093.9000000000001</v>
      </c>
      <c r="F14" s="102"/>
      <c r="G14" s="282" t="s">
        <v>459</v>
      </c>
      <c r="H14" s="283"/>
      <c r="I14" s="102"/>
      <c r="J14" s="102"/>
      <c r="K14" s="102"/>
    </row>
    <row r="15" spans="1:11">
      <c r="A15" s="102"/>
      <c r="B15" s="102"/>
      <c r="C15" s="119">
        <v>2002</v>
      </c>
      <c r="D15" s="119">
        <v>395.6</v>
      </c>
      <c r="E15" s="119">
        <v>1104.2</v>
      </c>
      <c r="F15" s="102"/>
      <c r="G15" s="111" t="s">
        <v>460</v>
      </c>
      <c r="H15" s="112">
        <f>D29</f>
        <v>434.79733727834395</v>
      </c>
      <c r="I15" s="102"/>
      <c r="J15" s="102"/>
      <c r="K15" s="102"/>
    </row>
    <row r="16" spans="1:11">
      <c r="A16" s="102"/>
      <c r="B16" s="102"/>
      <c r="C16" s="119">
        <v>2004</v>
      </c>
      <c r="D16" s="119">
        <v>444.2</v>
      </c>
      <c r="E16" s="119">
        <v>1178.5</v>
      </c>
      <c r="F16" s="102"/>
      <c r="G16" s="111" t="s">
        <v>461</v>
      </c>
      <c r="H16" s="113">
        <v>85000</v>
      </c>
      <c r="I16" s="102"/>
      <c r="J16" s="102"/>
      <c r="K16" s="102"/>
    </row>
    <row r="17" spans="1:11">
      <c r="A17" s="102"/>
      <c r="B17" s="102"/>
      <c r="C17" s="119">
        <v>2007</v>
      </c>
      <c r="D17" s="119">
        <v>512.4</v>
      </c>
      <c r="E17" s="119">
        <v>1373.3</v>
      </c>
      <c r="F17" s="102"/>
      <c r="G17" s="111" t="s">
        <v>462</v>
      </c>
      <c r="H17" s="113">
        <v>0.85</v>
      </c>
      <c r="I17" s="102"/>
      <c r="J17" s="102"/>
      <c r="K17" s="102"/>
    </row>
    <row r="18" spans="1:11">
      <c r="A18" s="102"/>
      <c r="B18" s="102"/>
      <c r="C18" s="119">
        <v>2008</v>
      </c>
      <c r="D18" s="119">
        <v>575.4</v>
      </c>
      <c r="E18" s="119">
        <v>1449.3</v>
      </c>
      <c r="F18" s="102"/>
      <c r="G18" s="111" t="s">
        <v>463</v>
      </c>
      <c r="H18" s="113">
        <v>1.1000000000000001</v>
      </c>
      <c r="I18" s="102"/>
      <c r="J18" s="102"/>
      <c r="K18" s="102"/>
    </row>
    <row r="19" spans="1:11">
      <c r="A19" s="102"/>
      <c r="B19" s="102"/>
      <c r="C19" s="119">
        <v>2009</v>
      </c>
      <c r="D19" s="119">
        <v>521.9</v>
      </c>
      <c r="E19" s="119">
        <v>1468.6</v>
      </c>
      <c r="F19" s="102"/>
      <c r="G19" s="111" t="s">
        <v>464</v>
      </c>
      <c r="H19" s="113">
        <f xml:space="preserve"> H16 *H17 *H18</f>
        <v>79475</v>
      </c>
      <c r="I19" s="102"/>
      <c r="J19" s="102"/>
      <c r="K19" s="102"/>
    </row>
    <row r="20" spans="1:11">
      <c r="A20" s="102"/>
      <c r="B20" s="102"/>
      <c r="C20" s="119">
        <v>2010</v>
      </c>
      <c r="D20" s="119">
        <v>550.79999999999995</v>
      </c>
      <c r="E20" s="119">
        <v>1457.4</v>
      </c>
      <c r="F20" s="102"/>
      <c r="G20" s="111" t="s">
        <v>457</v>
      </c>
      <c r="H20" s="114">
        <f xml:space="preserve"> H19 * (D26)/(10.006*H9 - 19575)</f>
        <v>193902.26900421744</v>
      </c>
      <c r="I20" s="102"/>
      <c r="J20" s="102"/>
      <c r="K20" s="102"/>
    </row>
    <row r="21" spans="1:11">
      <c r="A21" s="102"/>
      <c r="B21" s="102"/>
      <c r="C21" s="119">
        <v>2011</v>
      </c>
      <c r="D21" s="119">
        <v>585.70000000000005</v>
      </c>
      <c r="E21" s="103"/>
      <c r="F21" s="102"/>
      <c r="G21" s="121" t="s">
        <v>458</v>
      </c>
      <c r="H21" s="115">
        <f xml:space="preserve"> H19 * ( 26.592*H10 - 52020) /  (26.592*H9 - 52020)</f>
        <v>178913.48180677654</v>
      </c>
      <c r="I21" s="102"/>
      <c r="J21" s="102"/>
      <c r="K21" s="102"/>
    </row>
    <row r="22" spans="1:11">
      <c r="A22" s="102"/>
      <c r="B22" s="102"/>
      <c r="C22" s="119">
        <v>2012</v>
      </c>
      <c r="D22" s="119">
        <v>584.6</v>
      </c>
      <c r="E22" s="119" t="s">
        <v>360</v>
      </c>
      <c r="F22" s="102"/>
      <c r="G22" s="102"/>
      <c r="H22" s="102"/>
      <c r="I22" s="102"/>
      <c r="J22" s="102"/>
      <c r="K22" s="102"/>
    </row>
    <row r="23" spans="1:11">
      <c r="A23" s="102"/>
      <c r="B23" s="102"/>
      <c r="C23" s="119">
        <v>2013</v>
      </c>
      <c r="D23" s="119">
        <v>567.29999999999995</v>
      </c>
      <c r="E23" s="103"/>
      <c r="F23" s="102"/>
      <c r="G23" s="102"/>
      <c r="H23" s="102"/>
      <c r="I23" s="102"/>
      <c r="J23" s="102"/>
      <c r="K23" s="102"/>
    </row>
    <row r="24" spans="1:11">
      <c r="A24" s="102"/>
      <c r="B24" s="102"/>
      <c r="C24" s="119">
        <v>2014</v>
      </c>
      <c r="D24" s="119">
        <v>576.1</v>
      </c>
      <c r="E24" s="103"/>
      <c r="F24" s="102"/>
      <c r="G24" s="102"/>
      <c r="H24" s="102"/>
      <c r="I24" s="102"/>
      <c r="J24" s="102"/>
      <c r="K24" s="102"/>
    </row>
    <row r="25" spans="1:11">
      <c r="A25" s="102"/>
      <c r="B25" s="102"/>
      <c r="C25" s="119"/>
      <c r="D25" s="103"/>
      <c r="E25" s="103"/>
      <c r="F25" s="102"/>
      <c r="G25" s="102"/>
      <c r="H25" s="102"/>
      <c r="I25" s="102"/>
      <c r="J25" s="102"/>
      <c r="K25" s="102"/>
    </row>
    <row r="26" spans="1:11">
      <c r="A26" s="102"/>
      <c r="B26" s="102"/>
      <c r="C26" s="122">
        <v>2021</v>
      </c>
      <c r="D26" s="104">
        <v>700</v>
      </c>
      <c r="E26" s="104">
        <f xml:space="preserve"> 26.592*C26 - 52020</f>
        <v>1722.4320000000007</v>
      </c>
      <c r="F26" s="102"/>
      <c r="G26" s="102"/>
      <c r="H26" s="102"/>
      <c r="I26" s="102"/>
      <c r="J26" s="102"/>
      <c r="K26" s="102"/>
    </row>
    <row r="27" spans="1:11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</row>
    <row r="28" spans="1:11">
      <c r="A28" s="102"/>
      <c r="B28" s="102"/>
      <c r="C28" s="284" t="s">
        <v>238</v>
      </c>
      <c r="D28" s="285"/>
      <c r="E28" s="286"/>
      <c r="F28" s="102"/>
      <c r="G28" s="102"/>
      <c r="H28" s="102"/>
      <c r="I28" s="102"/>
      <c r="J28" s="102"/>
      <c r="K28" s="102"/>
    </row>
    <row r="29" spans="1:11">
      <c r="A29" s="1"/>
      <c r="B29" s="129"/>
      <c r="C29" s="123" t="s">
        <v>465</v>
      </c>
      <c r="D29" s="124">
        <f>'[2]Bell Method'!P114</f>
        <v>434.79733727834395</v>
      </c>
      <c r="E29" s="125" t="s">
        <v>71</v>
      </c>
      <c r="F29" s="1"/>
      <c r="G29" s="1"/>
      <c r="H29" s="1"/>
      <c r="I29" s="1"/>
      <c r="J29" s="1"/>
      <c r="K29" s="1"/>
    </row>
    <row r="30" spans="1:11">
      <c r="A30" s="1"/>
      <c r="B30" s="129"/>
      <c r="C30" s="126" t="s">
        <v>87</v>
      </c>
      <c r="D30" s="127">
        <f>D29/(0.3048^2)</f>
        <v>4680.1195878880162</v>
      </c>
      <c r="E30" s="128" t="s">
        <v>466</v>
      </c>
      <c r="F30" s="1"/>
      <c r="G30" s="1"/>
      <c r="H30" s="1"/>
      <c r="I30" s="1"/>
      <c r="J30" s="1"/>
      <c r="K30" s="1"/>
    </row>
    <row r="31" spans="1:1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</sheetData>
  <mergeCells count="5">
    <mergeCell ref="C2:E2"/>
    <mergeCell ref="G2:H2"/>
    <mergeCell ref="J3:K3"/>
    <mergeCell ref="G14:H14"/>
    <mergeCell ref="C28:E28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E0B18-D784-4001-8445-916D355887E8}">
  <sheetPr codeName="Sheet4"/>
  <dimension ref="B1:L60"/>
  <sheetViews>
    <sheetView showGridLines="0" topLeftCell="D1" zoomScaleNormal="100" workbookViewId="0">
      <selection activeCell="N68" sqref="N68"/>
    </sheetView>
  </sheetViews>
  <sheetFormatPr defaultRowHeight="14.5"/>
  <cols>
    <col min="1" max="1" width="8.7265625" style="134"/>
    <col min="2" max="2" width="5.7265625" style="134" customWidth="1"/>
    <col min="3" max="3" width="31.26953125" style="134" bestFit="1" customWidth="1"/>
    <col min="4" max="4" width="21.6328125" style="134" bestFit="1" customWidth="1"/>
    <col min="5" max="6" width="14.26953125" style="134" bestFit="1" customWidth="1"/>
    <col min="7" max="7" width="13.1796875" style="134" bestFit="1" customWidth="1"/>
    <col min="8" max="8" width="9.81640625" style="134" bestFit="1" customWidth="1"/>
    <col min="9" max="9" width="10.08984375" style="134" bestFit="1" customWidth="1"/>
    <col min="10" max="10" width="13.08984375" style="134" bestFit="1" customWidth="1"/>
    <col min="11" max="11" width="14.26953125" style="134" bestFit="1" customWidth="1"/>
    <col min="12" max="12" width="10.54296875" style="134" customWidth="1"/>
    <col min="13" max="257" width="8.7265625" style="134"/>
    <col min="258" max="258" width="5.7265625" style="134" customWidth="1"/>
    <col min="259" max="259" width="9.7265625" style="134" customWidth="1"/>
    <col min="260" max="260" width="14.26953125" style="134" customWidth="1"/>
    <col min="261" max="265" width="9.7265625" style="134" customWidth="1"/>
    <col min="266" max="266" width="11.7265625" style="134" customWidth="1"/>
    <col min="267" max="267" width="9.7265625" style="134" customWidth="1"/>
    <col min="268" max="268" width="8.26953125" style="134" customWidth="1"/>
    <col min="269" max="513" width="8.7265625" style="134"/>
    <col min="514" max="514" width="5.7265625" style="134" customWidth="1"/>
    <col min="515" max="515" width="9.7265625" style="134" customWidth="1"/>
    <col min="516" max="516" width="14.26953125" style="134" customWidth="1"/>
    <col min="517" max="521" width="9.7265625" style="134" customWidth="1"/>
    <col min="522" max="522" width="11.7265625" style="134" customWidth="1"/>
    <col min="523" max="523" width="9.7265625" style="134" customWidth="1"/>
    <col min="524" max="524" width="8.26953125" style="134" customWidth="1"/>
    <col min="525" max="769" width="8.7265625" style="134"/>
    <col min="770" max="770" width="5.7265625" style="134" customWidth="1"/>
    <col min="771" max="771" width="9.7265625" style="134" customWidth="1"/>
    <col min="772" max="772" width="14.26953125" style="134" customWidth="1"/>
    <col min="773" max="777" width="9.7265625" style="134" customWidth="1"/>
    <col min="778" max="778" width="11.7265625" style="134" customWidth="1"/>
    <col min="779" max="779" width="9.7265625" style="134" customWidth="1"/>
    <col min="780" max="780" width="8.26953125" style="134" customWidth="1"/>
    <col min="781" max="1025" width="8.7265625" style="134"/>
    <col min="1026" max="1026" width="5.7265625" style="134" customWidth="1"/>
    <col min="1027" max="1027" width="9.7265625" style="134" customWidth="1"/>
    <col min="1028" max="1028" width="14.26953125" style="134" customWidth="1"/>
    <col min="1029" max="1033" width="9.7265625" style="134" customWidth="1"/>
    <col min="1034" max="1034" width="11.7265625" style="134" customWidth="1"/>
    <col min="1035" max="1035" width="9.7265625" style="134" customWidth="1"/>
    <col min="1036" max="1036" width="8.26953125" style="134" customWidth="1"/>
    <col min="1037" max="1281" width="8.7265625" style="134"/>
    <col min="1282" max="1282" width="5.7265625" style="134" customWidth="1"/>
    <col min="1283" max="1283" width="9.7265625" style="134" customWidth="1"/>
    <col min="1284" max="1284" width="14.26953125" style="134" customWidth="1"/>
    <col min="1285" max="1289" width="9.7265625" style="134" customWidth="1"/>
    <col min="1290" max="1290" width="11.7265625" style="134" customWidth="1"/>
    <col min="1291" max="1291" width="9.7265625" style="134" customWidth="1"/>
    <col min="1292" max="1292" width="8.26953125" style="134" customWidth="1"/>
    <col min="1293" max="1537" width="8.7265625" style="134"/>
    <col min="1538" max="1538" width="5.7265625" style="134" customWidth="1"/>
    <col min="1539" max="1539" width="9.7265625" style="134" customWidth="1"/>
    <col min="1540" max="1540" width="14.26953125" style="134" customWidth="1"/>
    <col min="1541" max="1545" width="9.7265625" style="134" customWidth="1"/>
    <col min="1546" max="1546" width="11.7265625" style="134" customWidth="1"/>
    <col min="1547" max="1547" width="9.7265625" style="134" customWidth="1"/>
    <col min="1548" max="1548" width="8.26953125" style="134" customWidth="1"/>
    <col min="1549" max="1793" width="8.7265625" style="134"/>
    <col min="1794" max="1794" width="5.7265625" style="134" customWidth="1"/>
    <col min="1795" max="1795" width="9.7265625" style="134" customWidth="1"/>
    <col min="1796" max="1796" width="14.26953125" style="134" customWidth="1"/>
    <col min="1797" max="1801" width="9.7265625" style="134" customWidth="1"/>
    <col min="1802" max="1802" width="11.7265625" style="134" customWidth="1"/>
    <col min="1803" max="1803" width="9.7265625" style="134" customWidth="1"/>
    <col min="1804" max="1804" width="8.26953125" style="134" customWidth="1"/>
    <col min="1805" max="2049" width="8.7265625" style="134"/>
    <col min="2050" max="2050" width="5.7265625" style="134" customWidth="1"/>
    <col min="2051" max="2051" width="9.7265625" style="134" customWidth="1"/>
    <col min="2052" max="2052" width="14.26953125" style="134" customWidth="1"/>
    <col min="2053" max="2057" width="9.7265625" style="134" customWidth="1"/>
    <col min="2058" max="2058" width="11.7265625" style="134" customWidth="1"/>
    <col min="2059" max="2059" width="9.7265625" style="134" customWidth="1"/>
    <col min="2060" max="2060" width="8.26953125" style="134" customWidth="1"/>
    <col min="2061" max="2305" width="8.7265625" style="134"/>
    <col min="2306" max="2306" width="5.7265625" style="134" customWidth="1"/>
    <col min="2307" max="2307" width="9.7265625" style="134" customWidth="1"/>
    <col min="2308" max="2308" width="14.26953125" style="134" customWidth="1"/>
    <col min="2309" max="2313" width="9.7265625" style="134" customWidth="1"/>
    <col min="2314" max="2314" width="11.7265625" style="134" customWidth="1"/>
    <col min="2315" max="2315" width="9.7265625" style="134" customWidth="1"/>
    <col min="2316" max="2316" width="8.26953125" style="134" customWidth="1"/>
    <col min="2317" max="2561" width="8.7265625" style="134"/>
    <col min="2562" max="2562" width="5.7265625" style="134" customWidth="1"/>
    <col min="2563" max="2563" width="9.7265625" style="134" customWidth="1"/>
    <col min="2564" max="2564" width="14.26953125" style="134" customWidth="1"/>
    <col min="2565" max="2569" width="9.7265625" style="134" customWidth="1"/>
    <col min="2570" max="2570" width="11.7265625" style="134" customWidth="1"/>
    <col min="2571" max="2571" width="9.7265625" style="134" customWidth="1"/>
    <col min="2572" max="2572" width="8.26953125" style="134" customWidth="1"/>
    <col min="2573" max="2817" width="8.7265625" style="134"/>
    <col min="2818" max="2818" width="5.7265625" style="134" customWidth="1"/>
    <col min="2819" max="2819" width="9.7265625" style="134" customWidth="1"/>
    <col min="2820" max="2820" width="14.26953125" style="134" customWidth="1"/>
    <col min="2821" max="2825" width="9.7265625" style="134" customWidth="1"/>
    <col min="2826" max="2826" width="11.7265625" style="134" customWidth="1"/>
    <col min="2827" max="2827" width="9.7265625" style="134" customWidth="1"/>
    <col min="2828" max="2828" width="8.26953125" style="134" customWidth="1"/>
    <col min="2829" max="3073" width="8.7265625" style="134"/>
    <col min="3074" max="3074" width="5.7265625" style="134" customWidth="1"/>
    <col min="3075" max="3075" width="9.7265625" style="134" customWidth="1"/>
    <col min="3076" max="3076" width="14.26953125" style="134" customWidth="1"/>
    <col min="3077" max="3081" width="9.7265625" style="134" customWidth="1"/>
    <col min="3082" max="3082" width="11.7265625" style="134" customWidth="1"/>
    <col min="3083" max="3083" width="9.7265625" style="134" customWidth="1"/>
    <col min="3084" max="3084" width="8.26953125" style="134" customWidth="1"/>
    <col min="3085" max="3329" width="8.7265625" style="134"/>
    <col min="3330" max="3330" width="5.7265625" style="134" customWidth="1"/>
    <col min="3331" max="3331" width="9.7265625" style="134" customWidth="1"/>
    <col min="3332" max="3332" width="14.26953125" style="134" customWidth="1"/>
    <col min="3333" max="3337" width="9.7265625" style="134" customWidth="1"/>
    <col min="3338" max="3338" width="11.7265625" style="134" customWidth="1"/>
    <col min="3339" max="3339" width="9.7265625" style="134" customWidth="1"/>
    <col min="3340" max="3340" width="8.26953125" style="134" customWidth="1"/>
    <col min="3341" max="3585" width="8.7265625" style="134"/>
    <col min="3586" max="3586" width="5.7265625" style="134" customWidth="1"/>
    <col min="3587" max="3587" width="9.7265625" style="134" customWidth="1"/>
    <col min="3588" max="3588" width="14.26953125" style="134" customWidth="1"/>
    <col min="3589" max="3593" width="9.7265625" style="134" customWidth="1"/>
    <col min="3594" max="3594" width="11.7265625" style="134" customWidth="1"/>
    <col min="3595" max="3595" width="9.7265625" style="134" customWidth="1"/>
    <col min="3596" max="3596" width="8.26953125" style="134" customWidth="1"/>
    <col min="3597" max="3841" width="8.7265625" style="134"/>
    <col min="3842" max="3842" width="5.7265625" style="134" customWidth="1"/>
    <col min="3843" max="3843" width="9.7265625" style="134" customWidth="1"/>
    <col min="3844" max="3844" width="14.26953125" style="134" customWidth="1"/>
    <col min="3845" max="3849" width="9.7265625" style="134" customWidth="1"/>
    <col min="3850" max="3850" width="11.7265625" style="134" customWidth="1"/>
    <col min="3851" max="3851" width="9.7265625" style="134" customWidth="1"/>
    <col min="3852" max="3852" width="8.26953125" style="134" customWidth="1"/>
    <col min="3853" max="4097" width="8.7265625" style="134"/>
    <col min="4098" max="4098" width="5.7265625" style="134" customWidth="1"/>
    <col min="4099" max="4099" width="9.7265625" style="134" customWidth="1"/>
    <col min="4100" max="4100" width="14.26953125" style="134" customWidth="1"/>
    <col min="4101" max="4105" width="9.7265625" style="134" customWidth="1"/>
    <col min="4106" max="4106" width="11.7265625" style="134" customWidth="1"/>
    <col min="4107" max="4107" width="9.7265625" style="134" customWidth="1"/>
    <col min="4108" max="4108" width="8.26953125" style="134" customWidth="1"/>
    <col min="4109" max="4353" width="8.7265625" style="134"/>
    <col min="4354" max="4354" width="5.7265625" style="134" customWidth="1"/>
    <col min="4355" max="4355" width="9.7265625" style="134" customWidth="1"/>
    <col min="4356" max="4356" width="14.26953125" style="134" customWidth="1"/>
    <col min="4357" max="4361" width="9.7265625" style="134" customWidth="1"/>
    <col min="4362" max="4362" width="11.7265625" style="134" customWidth="1"/>
    <col min="4363" max="4363" width="9.7265625" style="134" customWidth="1"/>
    <col min="4364" max="4364" width="8.26953125" style="134" customWidth="1"/>
    <col min="4365" max="4609" width="8.7265625" style="134"/>
    <col min="4610" max="4610" width="5.7265625" style="134" customWidth="1"/>
    <col min="4611" max="4611" width="9.7265625" style="134" customWidth="1"/>
    <col min="4612" max="4612" width="14.26953125" style="134" customWidth="1"/>
    <col min="4613" max="4617" width="9.7265625" style="134" customWidth="1"/>
    <col min="4618" max="4618" width="11.7265625" style="134" customWidth="1"/>
    <col min="4619" max="4619" width="9.7265625" style="134" customWidth="1"/>
    <col min="4620" max="4620" width="8.26953125" style="134" customWidth="1"/>
    <col min="4621" max="4865" width="8.7265625" style="134"/>
    <col min="4866" max="4866" width="5.7265625" style="134" customWidth="1"/>
    <col min="4867" max="4867" width="9.7265625" style="134" customWidth="1"/>
    <col min="4868" max="4868" width="14.26953125" style="134" customWidth="1"/>
    <col min="4869" max="4873" width="9.7265625" style="134" customWidth="1"/>
    <col min="4874" max="4874" width="11.7265625" style="134" customWidth="1"/>
    <col min="4875" max="4875" width="9.7265625" style="134" customWidth="1"/>
    <col min="4876" max="4876" width="8.26953125" style="134" customWidth="1"/>
    <col min="4877" max="5121" width="8.7265625" style="134"/>
    <col min="5122" max="5122" width="5.7265625" style="134" customWidth="1"/>
    <col min="5123" max="5123" width="9.7265625" style="134" customWidth="1"/>
    <col min="5124" max="5124" width="14.26953125" style="134" customWidth="1"/>
    <col min="5125" max="5129" width="9.7265625" style="134" customWidth="1"/>
    <col min="5130" max="5130" width="11.7265625" style="134" customWidth="1"/>
    <col min="5131" max="5131" width="9.7265625" style="134" customWidth="1"/>
    <col min="5132" max="5132" width="8.26953125" style="134" customWidth="1"/>
    <col min="5133" max="5377" width="8.7265625" style="134"/>
    <col min="5378" max="5378" width="5.7265625" style="134" customWidth="1"/>
    <col min="5379" max="5379" width="9.7265625" style="134" customWidth="1"/>
    <col min="5380" max="5380" width="14.26953125" style="134" customWidth="1"/>
    <col min="5381" max="5385" width="9.7265625" style="134" customWidth="1"/>
    <col min="5386" max="5386" width="11.7265625" style="134" customWidth="1"/>
    <col min="5387" max="5387" width="9.7265625" style="134" customWidth="1"/>
    <col min="5388" max="5388" width="8.26953125" style="134" customWidth="1"/>
    <col min="5389" max="5633" width="8.7265625" style="134"/>
    <col min="5634" max="5634" width="5.7265625" style="134" customWidth="1"/>
    <col min="5635" max="5635" width="9.7265625" style="134" customWidth="1"/>
    <col min="5636" max="5636" width="14.26953125" style="134" customWidth="1"/>
    <col min="5637" max="5641" width="9.7265625" style="134" customWidth="1"/>
    <col min="5642" max="5642" width="11.7265625" style="134" customWidth="1"/>
    <col min="5643" max="5643" width="9.7265625" style="134" customWidth="1"/>
    <col min="5644" max="5644" width="8.26953125" style="134" customWidth="1"/>
    <col min="5645" max="5889" width="8.7265625" style="134"/>
    <col min="5890" max="5890" width="5.7265625" style="134" customWidth="1"/>
    <col min="5891" max="5891" width="9.7265625" style="134" customWidth="1"/>
    <col min="5892" max="5892" width="14.26953125" style="134" customWidth="1"/>
    <col min="5893" max="5897" width="9.7265625" style="134" customWidth="1"/>
    <col min="5898" max="5898" width="11.7265625" style="134" customWidth="1"/>
    <col min="5899" max="5899" width="9.7265625" style="134" customWidth="1"/>
    <col min="5900" max="5900" width="8.26953125" style="134" customWidth="1"/>
    <col min="5901" max="6145" width="8.7265625" style="134"/>
    <col min="6146" max="6146" width="5.7265625" style="134" customWidth="1"/>
    <col min="6147" max="6147" width="9.7265625" style="134" customWidth="1"/>
    <col min="6148" max="6148" width="14.26953125" style="134" customWidth="1"/>
    <col min="6149" max="6153" width="9.7265625" style="134" customWidth="1"/>
    <col min="6154" max="6154" width="11.7265625" style="134" customWidth="1"/>
    <col min="6155" max="6155" width="9.7265625" style="134" customWidth="1"/>
    <col min="6156" max="6156" width="8.26953125" style="134" customWidth="1"/>
    <col min="6157" max="6401" width="8.7265625" style="134"/>
    <col min="6402" max="6402" width="5.7265625" style="134" customWidth="1"/>
    <col min="6403" max="6403" width="9.7265625" style="134" customWidth="1"/>
    <col min="6404" max="6404" width="14.26953125" style="134" customWidth="1"/>
    <col min="6405" max="6409" width="9.7265625" style="134" customWidth="1"/>
    <col min="6410" max="6410" width="11.7265625" style="134" customWidth="1"/>
    <col min="6411" max="6411" width="9.7265625" style="134" customWidth="1"/>
    <col min="6412" max="6412" width="8.26953125" style="134" customWidth="1"/>
    <col min="6413" max="6657" width="8.7265625" style="134"/>
    <col min="6658" max="6658" width="5.7265625" style="134" customWidth="1"/>
    <col min="6659" max="6659" width="9.7265625" style="134" customWidth="1"/>
    <col min="6660" max="6660" width="14.26953125" style="134" customWidth="1"/>
    <col min="6661" max="6665" width="9.7265625" style="134" customWidth="1"/>
    <col min="6666" max="6666" width="11.7265625" style="134" customWidth="1"/>
    <col min="6667" max="6667" width="9.7265625" style="134" customWidth="1"/>
    <col min="6668" max="6668" width="8.26953125" style="134" customWidth="1"/>
    <col min="6669" max="6913" width="8.7265625" style="134"/>
    <col min="6914" max="6914" width="5.7265625" style="134" customWidth="1"/>
    <col min="6915" max="6915" width="9.7265625" style="134" customWidth="1"/>
    <col min="6916" max="6916" width="14.26953125" style="134" customWidth="1"/>
    <col min="6917" max="6921" width="9.7265625" style="134" customWidth="1"/>
    <col min="6922" max="6922" width="11.7265625" style="134" customWidth="1"/>
    <col min="6923" max="6923" width="9.7265625" style="134" customWidth="1"/>
    <col min="6924" max="6924" width="8.26953125" style="134" customWidth="1"/>
    <col min="6925" max="7169" width="8.7265625" style="134"/>
    <col min="7170" max="7170" width="5.7265625" style="134" customWidth="1"/>
    <col min="7171" max="7171" width="9.7265625" style="134" customWidth="1"/>
    <col min="7172" max="7172" width="14.26953125" style="134" customWidth="1"/>
    <col min="7173" max="7177" width="9.7265625" style="134" customWidth="1"/>
    <col min="7178" max="7178" width="11.7265625" style="134" customWidth="1"/>
    <col min="7179" max="7179" width="9.7265625" style="134" customWidth="1"/>
    <col min="7180" max="7180" width="8.26953125" style="134" customWidth="1"/>
    <col min="7181" max="7425" width="8.7265625" style="134"/>
    <col min="7426" max="7426" width="5.7265625" style="134" customWidth="1"/>
    <col min="7427" max="7427" width="9.7265625" style="134" customWidth="1"/>
    <col min="7428" max="7428" width="14.26953125" style="134" customWidth="1"/>
    <col min="7429" max="7433" width="9.7265625" style="134" customWidth="1"/>
    <col min="7434" max="7434" width="11.7265625" style="134" customWidth="1"/>
    <col min="7435" max="7435" width="9.7265625" style="134" customWidth="1"/>
    <col min="7436" max="7436" width="8.26953125" style="134" customWidth="1"/>
    <col min="7437" max="7681" width="8.7265625" style="134"/>
    <col min="7682" max="7682" width="5.7265625" style="134" customWidth="1"/>
    <col min="7683" max="7683" width="9.7265625" style="134" customWidth="1"/>
    <col min="7684" max="7684" width="14.26953125" style="134" customWidth="1"/>
    <col min="7685" max="7689" width="9.7265625" style="134" customWidth="1"/>
    <col min="7690" max="7690" width="11.7265625" style="134" customWidth="1"/>
    <col min="7691" max="7691" width="9.7265625" style="134" customWidth="1"/>
    <col min="7692" max="7692" width="8.26953125" style="134" customWidth="1"/>
    <col min="7693" max="7937" width="8.7265625" style="134"/>
    <col min="7938" max="7938" width="5.7265625" style="134" customWidth="1"/>
    <col min="7939" max="7939" width="9.7265625" style="134" customWidth="1"/>
    <col min="7940" max="7940" width="14.26953125" style="134" customWidth="1"/>
    <col min="7941" max="7945" width="9.7265625" style="134" customWidth="1"/>
    <col min="7946" max="7946" width="11.7265625" style="134" customWidth="1"/>
    <col min="7947" max="7947" width="9.7265625" style="134" customWidth="1"/>
    <col min="7948" max="7948" width="8.26953125" style="134" customWidth="1"/>
    <col min="7949" max="8193" width="8.7265625" style="134"/>
    <col min="8194" max="8194" width="5.7265625" style="134" customWidth="1"/>
    <col min="8195" max="8195" width="9.7265625" style="134" customWidth="1"/>
    <col min="8196" max="8196" width="14.26953125" style="134" customWidth="1"/>
    <col min="8197" max="8201" width="9.7265625" style="134" customWidth="1"/>
    <col min="8202" max="8202" width="11.7265625" style="134" customWidth="1"/>
    <col min="8203" max="8203" width="9.7265625" style="134" customWidth="1"/>
    <col min="8204" max="8204" width="8.26953125" style="134" customWidth="1"/>
    <col min="8205" max="8449" width="8.7265625" style="134"/>
    <col min="8450" max="8450" width="5.7265625" style="134" customWidth="1"/>
    <col min="8451" max="8451" width="9.7265625" style="134" customWidth="1"/>
    <col min="8452" max="8452" width="14.26953125" style="134" customWidth="1"/>
    <col min="8453" max="8457" width="9.7265625" style="134" customWidth="1"/>
    <col min="8458" max="8458" width="11.7265625" style="134" customWidth="1"/>
    <col min="8459" max="8459" width="9.7265625" style="134" customWidth="1"/>
    <col min="8460" max="8460" width="8.26953125" style="134" customWidth="1"/>
    <col min="8461" max="8705" width="8.7265625" style="134"/>
    <col min="8706" max="8706" width="5.7265625" style="134" customWidth="1"/>
    <col min="8707" max="8707" width="9.7265625" style="134" customWidth="1"/>
    <col min="8708" max="8708" width="14.26953125" style="134" customWidth="1"/>
    <col min="8709" max="8713" width="9.7265625" style="134" customWidth="1"/>
    <col min="8714" max="8714" width="11.7265625" style="134" customWidth="1"/>
    <col min="8715" max="8715" width="9.7265625" style="134" customWidth="1"/>
    <col min="8716" max="8716" width="8.26953125" style="134" customWidth="1"/>
    <col min="8717" max="8961" width="8.7265625" style="134"/>
    <col min="8962" max="8962" width="5.7265625" style="134" customWidth="1"/>
    <col min="8963" max="8963" width="9.7265625" style="134" customWidth="1"/>
    <col min="8964" max="8964" width="14.26953125" style="134" customWidth="1"/>
    <col min="8965" max="8969" width="9.7265625" style="134" customWidth="1"/>
    <col min="8970" max="8970" width="11.7265625" style="134" customWidth="1"/>
    <col min="8971" max="8971" width="9.7265625" style="134" customWidth="1"/>
    <col min="8972" max="8972" width="8.26953125" style="134" customWidth="1"/>
    <col min="8973" max="9217" width="8.7265625" style="134"/>
    <col min="9218" max="9218" width="5.7265625" style="134" customWidth="1"/>
    <col min="9219" max="9219" width="9.7265625" style="134" customWidth="1"/>
    <col min="9220" max="9220" width="14.26953125" style="134" customWidth="1"/>
    <col min="9221" max="9225" width="9.7265625" style="134" customWidth="1"/>
    <col min="9226" max="9226" width="11.7265625" style="134" customWidth="1"/>
    <col min="9227" max="9227" width="9.7265625" style="134" customWidth="1"/>
    <col min="9228" max="9228" width="8.26953125" style="134" customWidth="1"/>
    <col min="9229" max="9473" width="8.7265625" style="134"/>
    <col min="9474" max="9474" width="5.7265625" style="134" customWidth="1"/>
    <col min="9475" max="9475" width="9.7265625" style="134" customWidth="1"/>
    <col min="9476" max="9476" width="14.26953125" style="134" customWidth="1"/>
    <col min="9477" max="9481" width="9.7265625" style="134" customWidth="1"/>
    <col min="9482" max="9482" width="11.7265625" style="134" customWidth="1"/>
    <col min="9483" max="9483" width="9.7265625" style="134" customWidth="1"/>
    <col min="9484" max="9484" width="8.26953125" style="134" customWidth="1"/>
    <col min="9485" max="9729" width="8.7265625" style="134"/>
    <col min="9730" max="9730" width="5.7265625" style="134" customWidth="1"/>
    <col min="9731" max="9731" width="9.7265625" style="134" customWidth="1"/>
    <col min="9732" max="9732" width="14.26953125" style="134" customWidth="1"/>
    <col min="9733" max="9737" width="9.7265625" style="134" customWidth="1"/>
    <col min="9738" max="9738" width="11.7265625" style="134" customWidth="1"/>
    <col min="9739" max="9739" width="9.7265625" style="134" customWidth="1"/>
    <col min="9740" max="9740" width="8.26953125" style="134" customWidth="1"/>
    <col min="9741" max="9985" width="8.7265625" style="134"/>
    <col min="9986" max="9986" width="5.7265625" style="134" customWidth="1"/>
    <col min="9987" max="9987" width="9.7265625" style="134" customWidth="1"/>
    <col min="9988" max="9988" width="14.26953125" style="134" customWidth="1"/>
    <col min="9989" max="9993" width="9.7265625" style="134" customWidth="1"/>
    <col min="9994" max="9994" width="11.7265625" style="134" customWidth="1"/>
    <col min="9995" max="9995" width="9.7265625" style="134" customWidth="1"/>
    <col min="9996" max="9996" width="8.26953125" style="134" customWidth="1"/>
    <col min="9997" max="10241" width="8.7265625" style="134"/>
    <col min="10242" max="10242" width="5.7265625" style="134" customWidth="1"/>
    <col min="10243" max="10243" width="9.7265625" style="134" customWidth="1"/>
    <col min="10244" max="10244" width="14.26953125" style="134" customWidth="1"/>
    <col min="10245" max="10249" width="9.7265625" style="134" customWidth="1"/>
    <col min="10250" max="10250" width="11.7265625" style="134" customWidth="1"/>
    <col min="10251" max="10251" width="9.7265625" style="134" customWidth="1"/>
    <col min="10252" max="10252" width="8.26953125" style="134" customWidth="1"/>
    <col min="10253" max="10497" width="8.7265625" style="134"/>
    <col min="10498" max="10498" width="5.7265625" style="134" customWidth="1"/>
    <col min="10499" max="10499" width="9.7265625" style="134" customWidth="1"/>
    <col min="10500" max="10500" width="14.26953125" style="134" customWidth="1"/>
    <col min="10501" max="10505" width="9.7265625" style="134" customWidth="1"/>
    <col min="10506" max="10506" width="11.7265625" style="134" customWidth="1"/>
    <col min="10507" max="10507" width="9.7265625" style="134" customWidth="1"/>
    <col min="10508" max="10508" width="8.26953125" style="134" customWidth="1"/>
    <col min="10509" max="10753" width="8.7265625" style="134"/>
    <col min="10754" max="10754" width="5.7265625" style="134" customWidth="1"/>
    <col min="10755" max="10755" width="9.7265625" style="134" customWidth="1"/>
    <col min="10756" max="10756" width="14.26953125" style="134" customWidth="1"/>
    <col min="10757" max="10761" width="9.7265625" style="134" customWidth="1"/>
    <col min="10762" max="10762" width="11.7265625" style="134" customWidth="1"/>
    <col min="10763" max="10763" width="9.7265625" style="134" customWidth="1"/>
    <col min="10764" max="10764" width="8.26953125" style="134" customWidth="1"/>
    <col min="10765" max="11009" width="8.7265625" style="134"/>
    <col min="11010" max="11010" width="5.7265625" style="134" customWidth="1"/>
    <col min="11011" max="11011" width="9.7265625" style="134" customWidth="1"/>
    <col min="11012" max="11012" width="14.26953125" style="134" customWidth="1"/>
    <col min="11013" max="11017" width="9.7265625" style="134" customWidth="1"/>
    <col min="11018" max="11018" width="11.7265625" style="134" customWidth="1"/>
    <col min="11019" max="11019" width="9.7265625" style="134" customWidth="1"/>
    <col min="11020" max="11020" width="8.26953125" style="134" customWidth="1"/>
    <col min="11021" max="11265" width="8.7265625" style="134"/>
    <col min="11266" max="11266" width="5.7265625" style="134" customWidth="1"/>
    <col min="11267" max="11267" width="9.7265625" style="134" customWidth="1"/>
    <col min="11268" max="11268" width="14.26953125" style="134" customWidth="1"/>
    <col min="11269" max="11273" width="9.7265625" style="134" customWidth="1"/>
    <col min="11274" max="11274" width="11.7265625" style="134" customWidth="1"/>
    <col min="11275" max="11275" width="9.7265625" style="134" customWidth="1"/>
    <col min="11276" max="11276" width="8.26953125" style="134" customWidth="1"/>
    <col min="11277" max="11521" width="8.7265625" style="134"/>
    <col min="11522" max="11522" width="5.7265625" style="134" customWidth="1"/>
    <col min="11523" max="11523" width="9.7265625" style="134" customWidth="1"/>
    <col min="11524" max="11524" width="14.26953125" style="134" customWidth="1"/>
    <col min="11525" max="11529" width="9.7265625" style="134" customWidth="1"/>
    <col min="11530" max="11530" width="11.7265625" style="134" customWidth="1"/>
    <col min="11531" max="11531" width="9.7265625" style="134" customWidth="1"/>
    <col min="11532" max="11532" width="8.26953125" style="134" customWidth="1"/>
    <col min="11533" max="11777" width="8.7265625" style="134"/>
    <col min="11778" max="11778" width="5.7265625" style="134" customWidth="1"/>
    <col min="11779" max="11779" width="9.7265625" style="134" customWidth="1"/>
    <col min="11780" max="11780" width="14.26953125" style="134" customWidth="1"/>
    <col min="11781" max="11785" width="9.7265625" style="134" customWidth="1"/>
    <col min="11786" max="11786" width="11.7265625" style="134" customWidth="1"/>
    <col min="11787" max="11787" width="9.7265625" style="134" customWidth="1"/>
    <col min="11788" max="11788" width="8.26953125" style="134" customWidth="1"/>
    <col min="11789" max="12033" width="8.7265625" style="134"/>
    <col min="12034" max="12034" width="5.7265625" style="134" customWidth="1"/>
    <col min="12035" max="12035" width="9.7265625" style="134" customWidth="1"/>
    <col min="12036" max="12036" width="14.26953125" style="134" customWidth="1"/>
    <col min="12037" max="12041" width="9.7265625" style="134" customWidth="1"/>
    <col min="12042" max="12042" width="11.7265625" style="134" customWidth="1"/>
    <col min="12043" max="12043" width="9.7265625" style="134" customWidth="1"/>
    <col min="12044" max="12044" width="8.26953125" style="134" customWidth="1"/>
    <col min="12045" max="12289" width="8.7265625" style="134"/>
    <col min="12290" max="12290" width="5.7265625" style="134" customWidth="1"/>
    <col min="12291" max="12291" width="9.7265625" style="134" customWidth="1"/>
    <col min="12292" max="12292" width="14.26953125" style="134" customWidth="1"/>
    <col min="12293" max="12297" width="9.7265625" style="134" customWidth="1"/>
    <col min="12298" max="12298" width="11.7265625" style="134" customWidth="1"/>
    <col min="12299" max="12299" width="9.7265625" style="134" customWidth="1"/>
    <col min="12300" max="12300" width="8.26953125" style="134" customWidth="1"/>
    <col min="12301" max="12545" width="8.7265625" style="134"/>
    <col min="12546" max="12546" width="5.7265625" style="134" customWidth="1"/>
    <col min="12547" max="12547" width="9.7265625" style="134" customWidth="1"/>
    <col min="12548" max="12548" width="14.26953125" style="134" customWidth="1"/>
    <col min="12549" max="12553" width="9.7265625" style="134" customWidth="1"/>
    <col min="12554" max="12554" width="11.7265625" style="134" customWidth="1"/>
    <col min="12555" max="12555" width="9.7265625" style="134" customWidth="1"/>
    <col min="12556" max="12556" width="8.26953125" style="134" customWidth="1"/>
    <col min="12557" max="12801" width="8.7265625" style="134"/>
    <col min="12802" max="12802" width="5.7265625" style="134" customWidth="1"/>
    <col min="12803" max="12803" width="9.7265625" style="134" customWidth="1"/>
    <col min="12804" max="12804" width="14.26953125" style="134" customWidth="1"/>
    <col min="12805" max="12809" width="9.7265625" style="134" customWidth="1"/>
    <col min="12810" max="12810" width="11.7265625" style="134" customWidth="1"/>
    <col min="12811" max="12811" width="9.7265625" style="134" customWidth="1"/>
    <col min="12812" max="12812" width="8.26953125" style="134" customWidth="1"/>
    <col min="12813" max="13057" width="8.7265625" style="134"/>
    <col min="13058" max="13058" width="5.7265625" style="134" customWidth="1"/>
    <col min="13059" max="13059" width="9.7265625" style="134" customWidth="1"/>
    <col min="13060" max="13060" width="14.26953125" style="134" customWidth="1"/>
    <col min="13061" max="13065" width="9.7265625" style="134" customWidth="1"/>
    <col min="13066" max="13066" width="11.7265625" style="134" customWidth="1"/>
    <col min="13067" max="13067" width="9.7265625" style="134" customWidth="1"/>
    <col min="13068" max="13068" width="8.26953125" style="134" customWidth="1"/>
    <col min="13069" max="13313" width="8.7265625" style="134"/>
    <col min="13314" max="13314" width="5.7265625" style="134" customWidth="1"/>
    <col min="13315" max="13315" width="9.7265625" style="134" customWidth="1"/>
    <col min="13316" max="13316" width="14.26953125" style="134" customWidth="1"/>
    <col min="13317" max="13321" width="9.7265625" style="134" customWidth="1"/>
    <col min="13322" max="13322" width="11.7265625" style="134" customWidth="1"/>
    <col min="13323" max="13323" width="9.7265625" style="134" customWidth="1"/>
    <col min="13324" max="13324" width="8.26953125" style="134" customWidth="1"/>
    <col min="13325" max="13569" width="8.7265625" style="134"/>
    <col min="13570" max="13570" width="5.7265625" style="134" customWidth="1"/>
    <col min="13571" max="13571" width="9.7265625" style="134" customWidth="1"/>
    <col min="13572" max="13572" width="14.26953125" style="134" customWidth="1"/>
    <col min="13573" max="13577" width="9.7265625" style="134" customWidth="1"/>
    <col min="13578" max="13578" width="11.7265625" style="134" customWidth="1"/>
    <col min="13579" max="13579" width="9.7265625" style="134" customWidth="1"/>
    <col min="13580" max="13580" width="8.26953125" style="134" customWidth="1"/>
    <col min="13581" max="13825" width="8.7265625" style="134"/>
    <col min="13826" max="13826" width="5.7265625" style="134" customWidth="1"/>
    <col min="13827" max="13827" width="9.7265625" style="134" customWidth="1"/>
    <col min="13828" max="13828" width="14.26953125" style="134" customWidth="1"/>
    <col min="13829" max="13833" width="9.7265625" style="134" customWidth="1"/>
    <col min="13834" max="13834" width="11.7265625" style="134" customWidth="1"/>
    <col min="13835" max="13835" width="9.7265625" style="134" customWidth="1"/>
    <col min="13836" max="13836" width="8.26953125" style="134" customWidth="1"/>
    <col min="13837" max="14081" width="8.7265625" style="134"/>
    <col min="14082" max="14082" width="5.7265625" style="134" customWidth="1"/>
    <col min="14083" max="14083" width="9.7265625" style="134" customWidth="1"/>
    <col min="14084" max="14084" width="14.26953125" style="134" customWidth="1"/>
    <col min="14085" max="14089" width="9.7265625" style="134" customWidth="1"/>
    <col min="14090" max="14090" width="11.7265625" style="134" customWidth="1"/>
    <col min="14091" max="14091" width="9.7265625" style="134" customWidth="1"/>
    <col min="14092" max="14092" width="8.26953125" style="134" customWidth="1"/>
    <col min="14093" max="14337" width="8.7265625" style="134"/>
    <col min="14338" max="14338" width="5.7265625" style="134" customWidth="1"/>
    <col min="14339" max="14339" width="9.7265625" style="134" customWidth="1"/>
    <col min="14340" max="14340" width="14.26953125" style="134" customWidth="1"/>
    <col min="14341" max="14345" width="9.7265625" style="134" customWidth="1"/>
    <col min="14346" max="14346" width="11.7265625" style="134" customWidth="1"/>
    <col min="14347" max="14347" width="9.7265625" style="134" customWidth="1"/>
    <col min="14348" max="14348" width="8.26953125" style="134" customWidth="1"/>
    <col min="14349" max="14593" width="8.7265625" style="134"/>
    <col min="14594" max="14594" width="5.7265625" style="134" customWidth="1"/>
    <col min="14595" max="14595" width="9.7265625" style="134" customWidth="1"/>
    <col min="14596" max="14596" width="14.26953125" style="134" customWidth="1"/>
    <col min="14597" max="14601" width="9.7265625" style="134" customWidth="1"/>
    <col min="14602" max="14602" width="11.7265625" style="134" customWidth="1"/>
    <col min="14603" max="14603" width="9.7265625" style="134" customWidth="1"/>
    <col min="14604" max="14604" width="8.26953125" style="134" customWidth="1"/>
    <col min="14605" max="14849" width="8.7265625" style="134"/>
    <col min="14850" max="14850" width="5.7265625" style="134" customWidth="1"/>
    <col min="14851" max="14851" width="9.7265625" style="134" customWidth="1"/>
    <col min="14852" max="14852" width="14.26953125" style="134" customWidth="1"/>
    <col min="14853" max="14857" width="9.7265625" style="134" customWidth="1"/>
    <col min="14858" max="14858" width="11.7265625" style="134" customWidth="1"/>
    <col min="14859" max="14859" width="9.7265625" style="134" customWidth="1"/>
    <col min="14860" max="14860" width="8.26953125" style="134" customWidth="1"/>
    <col min="14861" max="15105" width="8.7265625" style="134"/>
    <col min="15106" max="15106" width="5.7265625" style="134" customWidth="1"/>
    <col min="15107" max="15107" width="9.7265625" style="134" customWidth="1"/>
    <col min="15108" max="15108" width="14.26953125" style="134" customWidth="1"/>
    <col min="15109" max="15113" width="9.7265625" style="134" customWidth="1"/>
    <col min="15114" max="15114" width="11.7265625" style="134" customWidth="1"/>
    <col min="15115" max="15115" width="9.7265625" style="134" customWidth="1"/>
    <col min="15116" max="15116" width="8.26953125" style="134" customWidth="1"/>
    <col min="15117" max="15361" width="8.7265625" style="134"/>
    <col min="15362" max="15362" width="5.7265625" style="134" customWidth="1"/>
    <col min="15363" max="15363" width="9.7265625" style="134" customWidth="1"/>
    <col min="15364" max="15364" width="14.26953125" style="134" customWidth="1"/>
    <col min="15365" max="15369" width="9.7265625" style="134" customWidth="1"/>
    <col min="15370" max="15370" width="11.7265625" style="134" customWidth="1"/>
    <col min="15371" max="15371" width="9.7265625" style="134" customWidth="1"/>
    <col min="15372" max="15372" width="8.26953125" style="134" customWidth="1"/>
    <col min="15373" max="15617" width="8.7265625" style="134"/>
    <col min="15618" max="15618" width="5.7265625" style="134" customWidth="1"/>
    <col min="15619" max="15619" width="9.7265625" style="134" customWidth="1"/>
    <col min="15620" max="15620" width="14.26953125" style="134" customWidth="1"/>
    <col min="15621" max="15625" width="9.7265625" style="134" customWidth="1"/>
    <col min="15626" max="15626" width="11.7265625" style="134" customWidth="1"/>
    <col min="15627" max="15627" width="9.7265625" style="134" customWidth="1"/>
    <col min="15628" max="15628" width="8.26953125" style="134" customWidth="1"/>
    <col min="15629" max="15873" width="8.7265625" style="134"/>
    <col min="15874" max="15874" width="5.7265625" style="134" customWidth="1"/>
    <col min="15875" max="15875" width="9.7265625" style="134" customWidth="1"/>
    <col min="15876" max="15876" width="14.26953125" style="134" customWidth="1"/>
    <col min="15877" max="15881" width="9.7265625" style="134" customWidth="1"/>
    <col min="15882" max="15882" width="11.7265625" style="134" customWidth="1"/>
    <col min="15883" max="15883" width="9.7265625" style="134" customWidth="1"/>
    <col min="15884" max="15884" width="8.26953125" style="134" customWidth="1"/>
    <col min="15885" max="16129" width="8.7265625" style="134"/>
    <col min="16130" max="16130" width="5.7265625" style="134" customWidth="1"/>
    <col min="16131" max="16131" width="9.7265625" style="134" customWidth="1"/>
    <col min="16132" max="16132" width="14.26953125" style="134" customWidth="1"/>
    <col min="16133" max="16137" width="9.7265625" style="134" customWidth="1"/>
    <col min="16138" max="16138" width="11.7265625" style="134" customWidth="1"/>
    <col min="16139" max="16139" width="9.7265625" style="134" customWidth="1"/>
    <col min="16140" max="16140" width="8.26953125" style="134" customWidth="1"/>
    <col min="16141" max="16384" width="8.7265625" style="134"/>
  </cols>
  <sheetData>
    <row r="1" spans="2:12" ht="15" thickBot="1"/>
    <row r="2" spans="2:12">
      <c r="B2" s="135">
        <v>1</v>
      </c>
      <c r="C2" s="309" t="s">
        <v>114</v>
      </c>
      <c r="D2" s="310"/>
      <c r="E2" s="310"/>
      <c r="F2" s="310"/>
      <c r="G2" s="310"/>
      <c r="H2" s="310"/>
      <c r="I2" s="310"/>
      <c r="J2" s="310"/>
      <c r="K2" s="310"/>
      <c r="L2" s="311"/>
    </row>
    <row r="3" spans="2:12">
      <c r="B3" s="136">
        <v>2</v>
      </c>
      <c r="C3" s="295" t="s">
        <v>115</v>
      </c>
      <c r="D3" s="289"/>
      <c r="E3" s="289"/>
      <c r="F3" s="289"/>
      <c r="G3" s="289"/>
      <c r="H3" s="289"/>
      <c r="I3" s="289"/>
      <c r="J3" s="289"/>
      <c r="K3" s="289"/>
      <c r="L3" s="312"/>
    </row>
    <row r="4" spans="2:12">
      <c r="B4" s="136">
        <v>3</v>
      </c>
      <c r="C4" s="295" t="s">
        <v>116</v>
      </c>
      <c r="D4" s="289"/>
      <c r="E4" s="289"/>
      <c r="F4" s="289"/>
      <c r="G4" s="289"/>
      <c r="H4" s="289"/>
      <c r="I4" s="289"/>
      <c r="J4" s="289"/>
      <c r="K4" s="289"/>
      <c r="L4" s="312"/>
    </row>
    <row r="5" spans="2:12">
      <c r="B5" s="137">
        <v>4</v>
      </c>
      <c r="C5" s="295" t="s">
        <v>117</v>
      </c>
      <c r="D5" s="289"/>
      <c r="E5" s="289"/>
      <c r="F5" s="289"/>
      <c r="G5" s="289"/>
      <c r="H5" s="289"/>
      <c r="I5" s="289"/>
      <c r="J5" s="289"/>
      <c r="K5" s="289"/>
      <c r="L5" s="312"/>
    </row>
    <row r="6" spans="2:12">
      <c r="B6" s="299">
        <v>5</v>
      </c>
      <c r="C6" s="90" t="s">
        <v>438</v>
      </c>
      <c r="D6" s="138" t="s">
        <v>118</v>
      </c>
      <c r="E6" s="90" t="s">
        <v>119</v>
      </c>
      <c r="F6" s="139" t="s">
        <v>120</v>
      </c>
      <c r="G6" s="90" t="s">
        <v>121</v>
      </c>
      <c r="H6" s="140" t="s">
        <v>434</v>
      </c>
      <c r="I6" s="90" t="s">
        <v>122</v>
      </c>
      <c r="J6" s="90" t="s">
        <v>123</v>
      </c>
      <c r="K6" s="90" t="s">
        <v>124</v>
      </c>
      <c r="L6" s="141"/>
    </row>
    <row r="7" spans="2:12">
      <c r="B7" s="313"/>
      <c r="C7" s="142"/>
      <c r="D7" s="143"/>
      <c r="E7" s="144"/>
      <c r="F7" s="139"/>
      <c r="G7" s="139" t="s">
        <v>125</v>
      </c>
      <c r="H7" s="139" t="s">
        <v>435</v>
      </c>
      <c r="I7" s="139"/>
      <c r="J7" s="142" t="s">
        <v>126</v>
      </c>
      <c r="K7" s="145" t="s">
        <v>127</v>
      </c>
      <c r="L7" s="146"/>
    </row>
    <row r="8" spans="2:12">
      <c r="B8" s="300"/>
      <c r="C8" s="147"/>
      <c r="D8" s="147"/>
      <c r="E8" s="148"/>
      <c r="F8" s="148"/>
      <c r="G8" s="148"/>
      <c r="H8" s="148"/>
      <c r="I8" s="148"/>
      <c r="J8" s="148"/>
      <c r="K8" s="148"/>
      <c r="L8" s="149"/>
    </row>
    <row r="9" spans="2:12">
      <c r="B9" s="299">
        <v>6</v>
      </c>
      <c r="C9" s="150" t="s">
        <v>128</v>
      </c>
      <c r="D9" s="151"/>
      <c r="E9" s="139" t="s">
        <v>129</v>
      </c>
      <c r="F9" s="142" t="s">
        <v>130</v>
      </c>
      <c r="G9" s="142">
        <v>375</v>
      </c>
      <c r="H9" s="142" t="s">
        <v>131</v>
      </c>
      <c r="I9" s="152"/>
      <c r="J9" s="139" t="s">
        <v>132</v>
      </c>
      <c r="K9" s="139" t="s">
        <v>133</v>
      </c>
      <c r="L9" s="153" t="s">
        <v>134</v>
      </c>
    </row>
    <row r="10" spans="2:12">
      <c r="B10" s="300"/>
      <c r="C10" s="154"/>
      <c r="D10" s="155"/>
      <c r="E10" s="156"/>
      <c r="F10" s="147" t="s">
        <v>135</v>
      </c>
      <c r="G10" s="147">
        <f>375*1.1</f>
        <v>412.50000000000006</v>
      </c>
      <c r="H10" s="157"/>
      <c r="I10" s="147"/>
      <c r="J10" s="156"/>
      <c r="K10" s="148" t="s">
        <v>136</v>
      </c>
      <c r="L10" s="153"/>
    </row>
    <row r="11" spans="2:12">
      <c r="B11" s="136">
        <v>7</v>
      </c>
      <c r="C11" s="158" t="s">
        <v>137</v>
      </c>
      <c r="D11" s="159"/>
      <c r="E11" s="139"/>
      <c r="F11" s="142"/>
      <c r="G11" s="160"/>
      <c r="H11" s="160"/>
      <c r="I11" s="161"/>
      <c r="J11" s="139"/>
      <c r="K11" s="139"/>
      <c r="L11" s="162"/>
    </row>
    <row r="12" spans="2:12">
      <c r="B12" s="136">
        <f>B11+1</f>
        <v>8</v>
      </c>
      <c r="C12" s="93"/>
      <c r="D12" s="163"/>
      <c r="E12" s="159"/>
      <c r="F12" s="164" t="s">
        <v>138</v>
      </c>
      <c r="G12" s="159"/>
      <c r="H12" s="159"/>
      <c r="I12" s="159"/>
      <c r="J12" s="159"/>
      <c r="K12" s="164" t="s">
        <v>139</v>
      </c>
      <c r="L12" s="165"/>
    </row>
    <row r="13" spans="2:12">
      <c r="B13" s="136">
        <v>9</v>
      </c>
      <c r="C13" s="93" t="s">
        <v>140</v>
      </c>
      <c r="D13" s="166"/>
      <c r="E13" s="167" t="s">
        <v>141</v>
      </c>
      <c r="F13" s="166"/>
      <c r="G13" s="164"/>
      <c r="H13" s="91" t="s">
        <v>142</v>
      </c>
      <c r="I13" s="166"/>
      <c r="J13" s="161" t="s">
        <v>143</v>
      </c>
      <c r="K13" s="166"/>
      <c r="L13" s="168" t="s">
        <v>142</v>
      </c>
    </row>
    <row r="14" spans="2:12">
      <c r="B14" s="136">
        <v>10</v>
      </c>
      <c r="C14" s="169" t="s">
        <v>144</v>
      </c>
      <c r="D14" s="170"/>
      <c r="E14" s="171"/>
      <c r="F14" s="172" t="s">
        <v>145</v>
      </c>
      <c r="G14" s="172"/>
      <c r="H14" s="173"/>
      <c r="I14" s="163"/>
      <c r="J14" s="174"/>
      <c r="K14" s="159" t="s">
        <v>146</v>
      </c>
      <c r="L14" s="175"/>
    </row>
    <row r="15" spans="2:12">
      <c r="B15" s="136">
        <v>11</v>
      </c>
      <c r="C15" s="176" t="s">
        <v>147</v>
      </c>
      <c r="D15" s="177"/>
      <c r="E15" s="178"/>
      <c r="F15" s="179">
        <v>36.74</v>
      </c>
      <c r="G15" s="180"/>
      <c r="H15" s="181"/>
      <c r="I15" s="151"/>
      <c r="J15" s="182"/>
      <c r="K15" s="179">
        <v>53.54</v>
      </c>
      <c r="L15" s="183"/>
    </row>
    <row r="16" spans="2:12">
      <c r="B16" s="136">
        <v>12</v>
      </c>
      <c r="C16" s="91" t="s">
        <v>148</v>
      </c>
      <c r="D16" s="170"/>
      <c r="E16" s="184"/>
      <c r="F16" s="180" t="s">
        <v>149</v>
      </c>
      <c r="G16" s="184"/>
      <c r="H16" s="184"/>
      <c r="I16" s="180"/>
      <c r="J16" s="184"/>
      <c r="K16" s="182">
        <v>0</v>
      </c>
      <c r="L16" s="183"/>
    </row>
    <row r="17" spans="2:12">
      <c r="B17" s="136">
        <v>13</v>
      </c>
      <c r="C17" s="185" t="s">
        <v>150</v>
      </c>
      <c r="D17" s="170"/>
      <c r="E17" s="181"/>
      <c r="F17" s="180" t="s">
        <v>127</v>
      </c>
      <c r="G17" s="180"/>
      <c r="H17" s="181"/>
      <c r="I17" s="180"/>
      <c r="J17" s="181"/>
      <c r="K17" s="180" t="s">
        <v>127</v>
      </c>
      <c r="L17" s="183"/>
    </row>
    <row r="18" spans="2:12">
      <c r="B18" s="136">
        <v>14</v>
      </c>
      <c r="C18" s="186" t="s">
        <v>151</v>
      </c>
      <c r="D18" s="170"/>
      <c r="E18" s="181"/>
      <c r="F18" s="180" t="s">
        <v>149</v>
      </c>
      <c r="G18" s="180"/>
      <c r="H18" s="181"/>
      <c r="I18" s="180"/>
      <c r="J18" s="181"/>
      <c r="K18" s="182">
        <v>0</v>
      </c>
      <c r="L18" s="183"/>
    </row>
    <row r="19" spans="2:12">
      <c r="B19" s="136">
        <v>15</v>
      </c>
      <c r="C19" s="93" t="s">
        <v>152</v>
      </c>
      <c r="D19" s="170"/>
      <c r="E19" s="181"/>
      <c r="F19" s="180" t="s">
        <v>149</v>
      </c>
      <c r="G19" s="180"/>
      <c r="H19" s="181"/>
      <c r="I19" s="180"/>
      <c r="J19" s="181"/>
      <c r="K19" s="182">
        <v>0</v>
      </c>
      <c r="L19" s="187"/>
    </row>
    <row r="20" spans="2:12">
      <c r="B20" s="136">
        <v>16</v>
      </c>
      <c r="C20" s="176" t="s">
        <v>153</v>
      </c>
      <c r="D20" s="166"/>
      <c r="E20" s="188">
        <v>40</v>
      </c>
      <c r="F20" s="182"/>
      <c r="G20" s="182"/>
      <c r="H20" s="182">
        <v>84</v>
      </c>
      <c r="I20" s="182"/>
      <c r="J20" s="182">
        <v>102</v>
      </c>
      <c r="K20" s="182"/>
      <c r="L20" s="183">
        <v>72</v>
      </c>
    </row>
    <row r="21" spans="2:12">
      <c r="B21" s="136">
        <v>17</v>
      </c>
      <c r="C21" s="93" t="s">
        <v>154</v>
      </c>
      <c r="D21" s="170"/>
      <c r="E21" s="188"/>
      <c r="F21" s="189">
        <v>616.5</v>
      </c>
      <c r="G21" s="182"/>
      <c r="H21" s="182"/>
      <c r="I21" s="182"/>
      <c r="J21" s="182"/>
      <c r="K21" s="189">
        <v>616.98</v>
      </c>
      <c r="L21" s="190"/>
    </row>
    <row r="22" spans="2:12">
      <c r="B22" s="136">
        <v>18</v>
      </c>
      <c r="C22" s="93" t="s">
        <v>155</v>
      </c>
      <c r="D22" s="166"/>
      <c r="E22" s="188"/>
      <c r="F22" s="182">
        <v>1.996E-4</v>
      </c>
      <c r="G22" s="182"/>
      <c r="H22" s="182"/>
      <c r="I22" s="182"/>
      <c r="J22" s="182"/>
      <c r="K22" s="182">
        <f>0.1812/1000</f>
        <v>1.8120000000000001E-4</v>
      </c>
      <c r="L22" s="190"/>
    </row>
    <row r="23" spans="2:12">
      <c r="B23" s="136">
        <v>19</v>
      </c>
      <c r="C23" s="93" t="s">
        <v>156</v>
      </c>
      <c r="D23" s="170"/>
      <c r="E23" s="188"/>
      <c r="F23" s="182"/>
      <c r="G23" s="182"/>
      <c r="H23" s="182"/>
      <c r="I23" s="182"/>
      <c r="J23" s="182"/>
      <c r="K23" s="182"/>
      <c r="L23" s="190"/>
    </row>
    <row r="24" spans="2:12">
      <c r="B24" s="136">
        <v>20</v>
      </c>
      <c r="C24" s="93" t="s">
        <v>157</v>
      </c>
      <c r="D24" s="166"/>
      <c r="E24" s="188"/>
      <c r="F24" s="182"/>
      <c r="G24" s="182"/>
      <c r="H24" s="182"/>
      <c r="I24" s="182"/>
      <c r="J24" s="182"/>
      <c r="K24" s="182"/>
      <c r="L24" s="190"/>
    </row>
    <row r="25" spans="2:12">
      <c r="B25" s="136">
        <v>21</v>
      </c>
      <c r="C25" s="93" t="s">
        <v>158</v>
      </c>
      <c r="D25" s="170"/>
      <c r="E25" s="188"/>
      <c r="F25" s="182">
        <f>2.4653*1000</f>
        <v>2465.3000000000002</v>
      </c>
      <c r="G25" s="182"/>
      <c r="H25" s="182"/>
      <c r="I25" s="182"/>
      <c r="J25" s="182"/>
      <c r="K25" s="182">
        <f>2.5525*1000</f>
        <v>2552.5</v>
      </c>
      <c r="L25" s="190"/>
    </row>
    <row r="26" spans="2:12">
      <c r="B26" s="136">
        <v>22</v>
      </c>
      <c r="C26" s="93" t="s">
        <v>159</v>
      </c>
      <c r="D26" s="166"/>
      <c r="E26" s="191"/>
      <c r="F26" s="192">
        <f>0.1254</f>
        <v>0.12540000000000001</v>
      </c>
      <c r="G26" s="192"/>
      <c r="H26" s="192"/>
      <c r="I26" s="192"/>
      <c r="J26" s="192"/>
      <c r="K26" s="192">
        <f>0.123</f>
        <v>0.123</v>
      </c>
      <c r="L26" s="193"/>
    </row>
    <row r="27" spans="2:12">
      <c r="B27" s="136">
        <v>23</v>
      </c>
      <c r="C27" s="93" t="s">
        <v>160</v>
      </c>
      <c r="D27" s="170"/>
      <c r="E27" s="194"/>
      <c r="F27" s="180"/>
      <c r="G27" s="180"/>
      <c r="H27" s="180"/>
      <c r="I27" s="182"/>
      <c r="J27" s="182"/>
      <c r="K27" s="182"/>
      <c r="L27" s="190"/>
    </row>
    <row r="28" spans="2:12">
      <c r="B28" s="136">
        <v>24</v>
      </c>
      <c r="C28" s="93" t="s">
        <v>161</v>
      </c>
      <c r="D28" s="166"/>
      <c r="E28" s="195"/>
      <c r="F28" s="179">
        <v>5.5</v>
      </c>
      <c r="G28" s="179"/>
      <c r="H28" s="179"/>
      <c r="I28" s="179"/>
      <c r="J28" s="179"/>
      <c r="K28" s="179">
        <v>14</v>
      </c>
      <c r="L28" s="196"/>
    </row>
    <row r="29" spans="2:12">
      <c r="B29" s="136">
        <v>25</v>
      </c>
      <c r="C29" s="93" t="s">
        <v>162</v>
      </c>
      <c r="D29" s="170"/>
      <c r="E29" s="195"/>
      <c r="F29" s="179">
        <v>0.95</v>
      </c>
      <c r="G29" s="179"/>
      <c r="H29" s="179"/>
      <c r="I29" s="182"/>
      <c r="J29" s="182"/>
      <c r="K29" s="182">
        <v>1.76</v>
      </c>
      <c r="L29" s="190"/>
    </row>
    <row r="30" spans="2:12">
      <c r="B30" s="136">
        <v>26</v>
      </c>
      <c r="C30" s="176" t="s">
        <v>163</v>
      </c>
      <c r="D30" s="166"/>
      <c r="E30" s="186"/>
      <c r="F30" s="182">
        <f>0.69*100000</f>
        <v>69000</v>
      </c>
      <c r="G30" s="164"/>
      <c r="H30" s="164"/>
      <c r="I30" s="164"/>
      <c r="J30" s="164"/>
      <c r="K30" s="182">
        <f>1.03*100000</f>
        <v>103000</v>
      </c>
      <c r="L30" s="168"/>
    </row>
    <row r="31" spans="2:12">
      <c r="B31" s="136">
        <v>27</v>
      </c>
      <c r="C31" s="93" t="s">
        <v>164</v>
      </c>
      <c r="D31" s="170"/>
      <c r="E31" s="197"/>
      <c r="F31" s="198">
        <f>0.00026</f>
        <v>2.5999999999999998E-4</v>
      </c>
      <c r="G31" s="199"/>
      <c r="H31" s="199"/>
      <c r="I31" s="200"/>
      <c r="J31" s="200"/>
      <c r="K31" s="198">
        <f>0.00026</f>
        <v>2.5999999999999998E-4</v>
      </c>
      <c r="L31" s="201"/>
    </row>
    <row r="32" spans="2:12">
      <c r="B32" s="136">
        <v>28</v>
      </c>
      <c r="C32" s="93" t="s">
        <v>165</v>
      </c>
      <c r="D32" s="170"/>
      <c r="E32" s="195"/>
      <c r="F32" s="202">
        <v>381.55700000000002</v>
      </c>
      <c r="G32" s="202"/>
      <c r="H32" s="289"/>
      <c r="I32" s="296"/>
      <c r="J32" s="289" t="s">
        <v>166</v>
      </c>
      <c r="K32" s="289"/>
      <c r="L32" s="193">
        <v>24.33</v>
      </c>
    </row>
    <row r="33" spans="2:12">
      <c r="B33" s="299">
        <v>29</v>
      </c>
      <c r="C33" s="203" t="s">
        <v>167</v>
      </c>
      <c r="D33" s="166"/>
      <c r="E33" s="204" t="s">
        <v>168</v>
      </c>
      <c r="F33" s="205">
        <v>467.76</v>
      </c>
      <c r="G33" s="91" t="s">
        <v>169</v>
      </c>
      <c r="H33" s="206">
        <v>618.1</v>
      </c>
      <c r="I33" s="92"/>
      <c r="J33" s="289" t="s">
        <v>170</v>
      </c>
      <c r="K33" s="289"/>
      <c r="L33" s="168">
        <v>36.659999999999997</v>
      </c>
    </row>
    <row r="34" spans="2:12">
      <c r="B34" s="300"/>
      <c r="C34" s="93"/>
      <c r="D34" s="290" t="s">
        <v>171</v>
      </c>
      <c r="E34" s="291"/>
      <c r="F34" s="291"/>
      <c r="G34" s="291"/>
      <c r="H34" s="291"/>
      <c r="I34" s="291"/>
      <c r="J34" s="292"/>
      <c r="K34" s="291" t="s">
        <v>172</v>
      </c>
      <c r="L34" s="314"/>
    </row>
    <row r="35" spans="2:12">
      <c r="B35" s="136">
        <v>30</v>
      </c>
      <c r="C35" s="293"/>
      <c r="D35" s="294"/>
      <c r="E35" s="289" t="s">
        <v>173</v>
      </c>
      <c r="F35" s="289"/>
      <c r="G35" s="289"/>
      <c r="H35" s="91"/>
      <c r="I35" s="91" t="s">
        <v>174</v>
      </c>
      <c r="J35" s="92"/>
      <c r="K35" s="288"/>
      <c r="L35" s="304"/>
    </row>
    <row r="36" spans="2:12">
      <c r="B36" s="136">
        <v>31</v>
      </c>
      <c r="C36" s="207" t="s">
        <v>175</v>
      </c>
      <c r="D36" s="208"/>
      <c r="E36" s="209"/>
      <c r="F36" s="210">
        <v>6.5</v>
      </c>
      <c r="G36" s="180"/>
      <c r="H36" s="180"/>
      <c r="I36" s="182">
        <v>15.4</v>
      </c>
      <c r="J36" s="92"/>
      <c r="K36" s="305"/>
      <c r="L36" s="306"/>
    </row>
    <row r="37" spans="2:12">
      <c r="B37" s="136">
        <v>32</v>
      </c>
      <c r="C37" s="207" t="s">
        <v>176</v>
      </c>
      <c r="D37" s="211"/>
      <c r="E37" s="212"/>
      <c r="F37" s="182">
        <v>100</v>
      </c>
      <c r="G37" s="182"/>
      <c r="H37" s="182"/>
      <c r="I37" s="182">
        <v>105</v>
      </c>
      <c r="J37" s="213"/>
      <c r="K37" s="305"/>
      <c r="L37" s="306"/>
    </row>
    <row r="38" spans="2:12">
      <c r="B38" s="136">
        <v>33</v>
      </c>
      <c r="C38" s="207" t="s">
        <v>177</v>
      </c>
      <c r="D38" s="166"/>
      <c r="E38" s="214"/>
      <c r="F38" s="215">
        <v>2</v>
      </c>
      <c r="G38" s="180"/>
      <c r="H38" s="180"/>
      <c r="I38" s="215">
        <v>4</v>
      </c>
      <c r="J38" s="92"/>
      <c r="K38" s="305"/>
      <c r="L38" s="306"/>
    </row>
    <row r="39" spans="2:12">
      <c r="B39" s="136">
        <v>34</v>
      </c>
      <c r="C39" s="207" t="s">
        <v>178</v>
      </c>
      <c r="D39" s="216"/>
      <c r="E39" s="217"/>
      <c r="F39" s="182">
        <v>3.2000000000000002E-3</v>
      </c>
      <c r="G39" s="180"/>
      <c r="H39" s="180"/>
      <c r="I39" s="182">
        <v>3.2000000000000002E-3</v>
      </c>
      <c r="J39" s="92"/>
      <c r="K39" s="305"/>
      <c r="L39" s="306"/>
    </row>
    <row r="40" spans="2:12">
      <c r="B40" s="299">
        <v>35</v>
      </c>
      <c r="C40" s="142" t="s">
        <v>179</v>
      </c>
      <c r="D40" s="163"/>
      <c r="E40" s="166"/>
      <c r="F40" s="148" t="s">
        <v>180</v>
      </c>
      <c r="G40" s="180"/>
      <c r="H40" s="91"/>
      <c r="I40" s="91" t="s">
        <v>180</v>
      </c>
      <c r="J40" s="218"/>
      <c r="K40" s="305"/>
      <c r="L40" s="306"/>
    </row>
    <row r="41" spans="2:12">
      <c r="B41" s="300"/>
      <c r="C41" s="91"/>
      <c r="D41" s="147" t="s">
        <v>181</v>
      </c>
      <c r="E41" s="93"/>
      <c r="F41" s="210"/>
      <c r="G41" s="91"/>
      <c r="H41" s="91"/>
      <c r="I41" s="182"/>
      <c r="J41" s="92"/>
      <c r="K41" s="307"/>
      <c r="L41" s="308"/>
    </row>
    <row r="42" spans="2:12">
      <c r="B42" s="299">
        <v>36</v>
      </c>
      <c r="C42" s="287" t="s">
        <v>182</v>
      </c>
      <c r="D42" s="301"/>
      <c r="E42" s="203" t="s">
        <v>183</v>
      </c>
      <c r="F42" s="220">
        <v>19.05</v>
      </c>
      <c r="G42" s="203" t="s">
        <v>184</v>
      </c>
      <c r="H42" s="220">
        <v>16</v>
      </c>
      <c r="I42" s="203" t="s">
        <v>185</v>
      </c>
      <c r="J42" s="220">
        <v>6.1</v>
      </c>
      <c r="K42" s="90" t="s">
        <v>186</v>
      </c>
      <c r="L42" s="162">
        <v>30</v>
      </c>
    </row>
    <row r="43" spans="2:12">
      <c r="B43" s="300"/>
      <c r="C43" s="221"/>
      <c r="D43" s="206">
        <v>671</v>
      </c>
      <c r="E43" s="222"/>
      <c r="F43" s="223"/>
      <c r="G43" s="152"/>
      <c r="H43" s="224"/>
      <c r="I43" s="225"/>
      <c r="J43" s="226"/>
      <c r="K43" s="210"/>
      <c r="L43" s="227"/>
    </row>
    <row r="44" spans="2:12">
      <c r="B44" s="136">
        <v>37</v>
      </c>
      <c r="C44" s="186" t="s">
        <v>187</v>
      </c>
      <c r="D44" s="228" t="s">
        <v>188</v>
      </c>
      <c r="E44" s="93" t="s">
        <v>189</v>
      </c>
      <c r="F44" s="180" t="s">
        <v>190</v>
      </c>
      <c r="G44" s="91"/>
      <c r="H44" s="92"/>
      <c r="I44" s="90"/>
      <c r="J44" s="91"/>
      <c r="K44" s="91"/>
      <c r="L44" s="141"/>
    </row>
    <row r="45" spans="2:12">
      <c r="B45" s="136">
        <v>38</v>
      </c>
      <c r="C45" s="176" t="s">
        <v>191</v>
      </c>
      <c r="D45" s="208"/>
      <c r="E45" s="91" t="s">
        <v>192</v>
      </c>
      <c r="F45" s="229">
        <v>1</v>
      </c>
      <c r="G45" s="91" t="s">
        <v>193</v>
      </c>
      <c r="H45" s="229">
        <v>1.0143</v>
      </c>
      <c r="I45" s="289" t="s">
        <v>194</v>
      </c>
      <c r="J45" s="289"/>
      <c r="K45" s="139" t="s">
        <v>190</v>
      </c>
      <c r="L45" s="94"/>
    </row>
    <row r="46" spans="2:12">
      <c r="B46" s="136">
        <v>39</v>
      </c>
      <c r="C46" s="295" t="s">
        <v>195</v>
      </c>
      <c r="D46" s="289"/>
      <c r="E46" s="289"/>
      <c r="F46" s="91" t="s">
        <v>190</v>
      </c>
      <c r="G46" s="91"/>
      <c r="H46" s="224"/>
      <c r="I46" s="289" t="s">
        <v>196</v>
      </c>
      <c r="J46" s="289"/>
      <c r="K46" s="91" t="s">
        <v>190</v>
      </c>
      <c r="L46" s="146"/>
    </row>
    <row r="47" spans="2:12">
      <c r="B47" s="136">
        <v>40</v>
      </c>
      <c r="C47" s="302" t="s">
        <v>197</v>
      </c>
      <c r="D47" s="303"/>
      <c r="E47" s="303"/>
      <c r="F47" s="139" t="s">
        <v>190</v>
      </c>
      <c r="G47" s="139" t="s">
        <v>198</v>
      </c>
      <c r="H47" s="230"/>
      <c r="I47" s="289" t="s">
        <v>199</v>
      </c>
      <c r="J47" s="289"/>
      <c r="K47" s="139" t="s">
        <v>190</v>
      </c>
      <c r="L47" s="141"/>
    </row>
    <row r="48" spans="2:12">
      <c r="B48" s="136">
        <v>41</v>
      </c>
      <c r="C48" s="295" t="s">
        <v>200</v>
      </c>
      <c r="D48" s="289"/>
      <c r="E48" s="90"/>
      <c r="F48" s="90" t="s">
        <v>190</v>
      </c>
      <c r="G48" s="90" t="s">
        <v>201</v>
      </c>
      <c r="H48" s="219"/>
      <c r="I48" s="289" t="s">
        <v>202</v>
      </c>
      <c r="J48" s="289"/>
      <c r="K48" s="91" t="s">
        <v>203</v>
      </c>
      <c r="L48" s="94"/>
    </row>
    <row r="49" spans="2:12">
      <c r="B49" s="136">
        <v>42</v>
      </c>
      <c r="C49" s="295" t="s">
        <v>204</v>
      </c>
      <c r="D49" s="289"/>
      <c r="E49" s="289" t="s">
        <v>205</v>
      </c>
      <c r="F49" s="289"/>
      <c r="G49" s="289"/>
      <c r="H49" s="92"/>
      <c r="I49" s="91" t="s">
        <v>206</v>
      </c>
      <c r="J49" s="179"/>
      <c r="K49" s="142" t="s">
        <v>207</v>
      </c>
      <c r="L49" s="231"/>
    </row>
    <row r="50" spans="2:12">
      <c r="B50" s="136">
        <v>43</v>
      </c>
      <c r="C50" s="297" t="s">
        <v>208</v>
      </c>
      <c r="D50" s="298"/>
      <c r="E50" s="181"/>
      <c r="F50" s="91"/>
      <c r="G50" s="91"/>
      <c r="H50" s="224"/>
      <c r="I50" s="148" t="s">
        <v>209</v>
      </c>
      <c r="J50" s="152" t="s">
        <v>362</v>
      </c>
      <c r="K50" s="91"/>
      <c r="L50" s="146"/>
    </row>
    <row r="51" spans="2:12">
      <c r="B51" s="136">
        <v>44</v>
      </c>
      <c r="C51" s="295" t="s">
        <v>210</v>
      </c>
      <c r="D51" s="289"/>
      <c r="E51" s="232"/>
      <c r="F51" s="139"/>
      <c r="G51" s="139"/>
      <c r="H51" s="224"/>
      <c r="I51" s="90" t="s">
        <v>211</v>
      </c>
      <c r="J51" s="164"/>
      <c r="K51" s="139" t="s">
        <v>212</v>
      </c>
      <c r="L51" s="94"/>
    </row>
    <row r="52" spans="2:12">
      <c r="B52" s="136">
        <v>45</v>
      </c>
      <c r="C52" s="295" t="s">
        <v>213</v>
      </c>
      <c r="D52" s="289"/>
      <c r="E52" s="289"/>
      <c r="F52" s="90" t="s">
        <v>214</v>
      </c>
      <c r="G52" s="90"/>
      <c r="H52" s="92"/>
      <c r="I52" s="289" t="s">
        <v>215</v>
      </c>
      <c r="J52" s="289"/>
      <c r="K52" s="289"/>
      <c r="L52" s="168"/>
    </row>
    <row r="53" spans="2:12">
      <c r="B53" s="136">
        <v>46</v>
      </c>
      <c r="C53" s="295" t="s">
        <v>216</v>
      </c>
      <c r="D53" s="289"/>
      <c r="E53" s="90"/>
      <c r="F53" s="91"/>
      <c r="G53" s="90"/>
      <c r="H53" s="90"/>
      <c r="I53" s="90"/>
      <c r="J53" s="219"/>
      <c r="K53" s="204"/>
      <c r="L53" s="141" t="s">
        <v>198</v>
      </c>
    </row>
    <row r="54" spans="2:12">
      <c r="B54" s="136">
        <v>47</v>
      </c>
      <c r="C54" s="169" t="s">
        <v>217</v>
      </c>
      <c r="D54" s="233"/>
      <c r="E54" s="234"/>
      <c r="F54" s="235"/>
      <c r="G54" s="90" t="s">
        <v>218</v>
      </c>
      <c r="H54" s="91"/>
      <c r="I54" s="91"/>
      <c r="J54" s="92"/>
      <c r="K54" s="90" t="s">
        <v>219</v>
      </c>
      <c r="L54" s="94"/>
    </row>
    <row r="55" spans="2:12">
      <c r="B55" s="136">
        <v>48</v>
      </c>
      <c r="C55" s="295" t="s">
        <v>220</v>
      </c>
      <c r="D55" s="289"/>
      <c r="E55" s="91" t="s">
        <v>221</v>
      </c>
      <c r="F55" s="92"/>
      <c r="G55" s="289" t="s">
        <v>222</v>
      </c>
      <c r="H55" s="289"/>
      <c r="I55" s="289"/>
      <c r="J55" s="289"/>
      <c r="K55" s="91" t="s">
        <v>221</v>
      </c>
      <c r="L55" s="149"/>
    </row>
    <row r="56" spans="2:12">
      <c r="B56" s="136">
        <v>49</v>
      </c>
      <c r="C56" s="90" t="s">
        <v>437</v>
      </c>
      <c r="D56" s="236"/>
      <c r="E56" s="142" t="s">
        <v>190</v>
      </c>
      <c r="F56" s="91" t="s">
        <v>201</v>
      </c>
      <c r="G56" s="91"/>
      <c r="H56" s="91"/>
      <c r="I56" s="91"/>
      <c r="J56" s="91"/>
      <c r="K56" s="148"/>
      <c r="L56" s="146"/>
    </row>
    <row r="57" spans="2:12">
      <c r="B57" s="136">
        <v>50</v>
      </c>
      <c r="C57" s="93"/>
      <c r="D57" s="289" t="s">
        <v>436</v>
      </c>
      <c r="E57" s="289"/>
      <c r="F57" s="296"/>
      <c r="G57" s="139"/>
      <c r="H57" s="289" t="s">
        <v>223</v>
      </c>
      <c r="I57" s="289"/>
      <c r="J57" s="180" t="s">
        <v>224</v>
      </c>
      <c r="K57" s="139"/>
      <c r="L57" s="94" t="s">
        <v>198</v>
      </c>
    </row>
    <row r="58" spans="2:12">
      <c r="B58" s="136">
        <v>51</v>
      </c>
      <c r="C58" s="287" t="s">
        <v>225</v>
      </c>
      <c r="D58" s="288"/>
      <c r="E58" s="288"/>
      <c r="F58" s="229">
        <v>4340.5</v>
      </c>
      <c r="G58" s="289" t="s">
        <v>226</v>
      </c>
      <c r="H58" s="289"/>
      <c r="I58" s="229">
        <v>9914</v>
      </c>
      <c r="J58" s="93" t="s">
        <v>227</v>
      </c>
      <c r="K58" s="91"/>
      <c r="L58" s="196">
        <v>3928</v>
      </c>
    </row>
    <row r="59" spans="2:12">
      <c r="B59" s="136">
        <v>52</v>
      </c>
      <c r="C59" s="169" t="s">
        <v>228</v>
      </c>
      <c r="D59" s="163"/>
      <c r="E59" s="237">
        <v>178913</v>
      </c>
      <c r="F59" s="238" t="s">
        <v>229</v>
      </c>
      <c r="G59" s="238"/>
      <c r="H59" s="238"/>
      <c r="I59" s="238"/>
      <c r="J59" s="238"/>
      <c r="K59" s="238"/>
      <c r="L59" s="239"/>
    </row>
    <row r="60" spans="2:12" ht="15" thickBot="1">
      <c r="B60" s="240">
        <v>53</v>
      </c>
      <c r="C60" s="241"/>
      <c r="D60" s="241" t="s">
        <v>230</v>
      </c>
      <c r="E60" s="241"/>
      <c r="F60" s="241"/>
      <c r="G60" s="241"/>
      <c r="H60" s="241"/>
      <c r="I60" s="241"/>
      <c r="J60" s="241"/>
      <c r="K60" s="241"/>
      <c r="L60" s="242"/>
    </row>
  </sheetData>
  <mergeCells count="38">
    <mergeCell ref="K35:L41"/>
    <mergeCell ref="B40:B41"/>
    <mergeCell ref="C2:L2"/>
    <mergeCell ref="C3:L3"/>
    <mergeCell ref="C4:L4"/>
    <mergeCell ref="C5:L5"/>
    <mergeCell ref="B6:B8"/>
    <mergeCell ref="B9:B10"/>
    <mergeCell ref="H32:I32"/>
    <mergeCell ref="J32:K32"/>
    <mergeCell ref="B33:B34"/>
    <mergeCell ref="J33:K33"/>
    <mergeCell ref="K34:L34"/>
    <mergeCell ref="C50:D50"/>
    <mergeCell ref="C51:D51"/>
    <mergeCell ref="B42:B43"/>
    <mergeCell ref="C42:D42"/>
    <mergeCell ref="I45:J45"/>
    <mergeCell ref="C46:E46"/>
    <mergeCell ref="I46:J46"/>
    <mergeCell ref="C47:E47"/>
    <mergeCell ref="I47:J47"/>
    <mergeCell ref="C58:E58"/>
    <mergeCell ref="G58:H58"/>
    <mergeCell ref="D34:J34"/>
    <mergeCell ref="C35:D35"/>
    <mergeCell ref="E35:G35"/>
    <mergeCell ref="C52:E52"/>
    <mergeCell ref="I52:K52"/>
    <mergeCell ref="C53:D53"/>
    <mergeCell ref="C55:D55"/>
    <mergeCell ref="G55:J55"/>
    <mergeCell ref="D57:F57"/>
    <mergeCell ref="H57:I57"/>
    <mergeCell ref="C48:D48"/>
    <mergeCell ref="I48:J48"/>
    <mergeCell ref="C49:D49"/>
    <mergeCell ref="E49:G4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Properties</vt:lpstr>
      <vt:lpstr>Kern Method</vt:lpstr>
      <vt:lpstr>Bell Method</vt:lpstr>
      <vt:lpstr>Mech Design</vt:lpstr>
      <vt:lpstr>weight</vt:lpstr>
      <vt:lpstr>cost</vt:lpstr>
      <vt:lpstr>Tema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Bahareh</dc:creator>
  <cp:lastModifiedBy>Bahareh</cp:lastModifiedBy>
  <dcterms:created xsi:type="dcterms:W3CDTF">2023-03-26T12:59:44Z</dcterms:created>
  <dcterms:modified xsi:type="dcterms:W3CDTF">2023-06-01T13:02:28Z</dcterms:modified>
</cp:coreProperties>
</file>